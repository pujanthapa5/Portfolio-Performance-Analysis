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pa\Documents\Excel_Data_Analytics_Course-main\"/>
    </mc:Choice>
  </mc:AlternateContent>
  <xr:revisionPtr revIDLastSave="0" documentId="13_ncr:1_{0B95057F-CDA9-4D2B-8293-4DE89AE2893A}" xr6:coauthVersionLast="47" xr6:coauthVersionMax="47" xr10:uidLastSave="{00000000-0000-0000-0000-000000000000}"/>
  <bookViews>
    <workbookView xWindow="-108" yWindow="-108" windowWidth="23256" windowHeight="12456" xr2:uid="{D2A22CE0-1339-4904-8FF7-6EB48D52D00E}"/>
  </bookViews>
  <sheets>
    <sheet name="Exectuive View" sheetId="4" r:id="rId1"/>
    <sheet name="Cleaned Data" sheetId="2" r:id="rId2"/>
    <sheet name="Summary" sheetId="1" r:id="rId3"/>
  </sheets>
  <definedNames>
    <definedName name="ExternalData_1" localSheetId="1" hidden="1">'Cleaned Data'!$A$1:$D$1001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" l="1"/>
  <c r="D12" i="1"/>
  <c r="C12" i="1"/>
  <c r="C11" i="1"/>
  <c r="B12" i="1"/>
  <c r="B11" i="1"/>
  <c r="E11" i="1"/>
  <c r="D11" i="1"/>
  <c r="H3" i="1"/>
  <c r="H4" i="1"/>
  <c r="H5" i="1"/>
  <c r="H2" i="1"/>
  <c r="G6" i="1"/>
  <c r="G3" i="1"/>
  <c r="G4" i="1"/>
  <c r="G5" i="1"/>
  <c r="G2" i="1"/>
  <c r="F6" i="1"/>
  <c r="F2" i="1"/>
  <c r="F4" i="1"/>
  <c r="F5" i="1"/>
  <c r="F3" i="1"/>
  <c r="E3" i="1"/>
  <c r="E4" i="1"/>
  <c r="E5" i="1"/>
  <c r="E6" i="1"/>
  <c r="E2" i="1"/>
  <c r="D6" i="1"/>
  <c r="D3" i="1"/>
  <c r="D4" i="1"/>
  <c r="D5" i="1"/>
  <c r="D2" i="1"/>
  <c r="C2" i="1"/>
  <c r="C5" i="1"/>
  <c r="C4" i="1"/>
  <c r="C3" i="1"/>
  <c r="B6" i="1"/>
  <c r="B5" i="1"/>
  <c r="B4" i="1"/>
  <c r="B3" i="1"/>
  <c r="B2" i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C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60051A-292B-4D23-8F83-44AA8F88EC1F}" keepAlive="1" name="Query - Portfolio_Data_ProductGroups" description="Connection to the 'Portfolio_Data_ProductGroups' query in the workbook." type="5" refreshedVersion="8" background="1" saveData="1">
    <dbPr connection="Provider=Microsoft.Mashup.OleDb.1;Data Source=$Workbook$;Location=Portfolio_Data_ProductGroups;Extended Properties=&quot;&quot;" command="SELECT * FROM [Portfolio_Data_ProductGroups]"/>
  </connection>
</connections>
</file>

<file path=xl/sharedStrings.xml><?xml version="1.0" encoding="utf-8"?>
<sst xmlns="http://schemas.openxmlformats.org/spreadsheetml/2006/main" count="2025" uniqueCount="1021">
  <si>
    <t>Product_ID</t>
  </si>
  <si>
    <t>Product_Group</t>
  </si>
  <si>
    <t>Revenue_EUR_m</t>
  </si>
  <si>
    <t>Profit_EUR_m</t>
  </si>
  <si>
    <t>P0001</t>
  </si>
  <si>
    <t>Switch</t>
  </si>
  <si>
    <t>P0002</t>
  </si>
  <si>
    <t>WLAN</t>
  </si>
  <si>
    <t>P0003</t>
  </si>
  <si>
    <t>Router</t>
  </si>
  <si>
    <t>P0004</t>
  </si>
  <si>
    <t>P0005</t>
  </si>
  <si>
    <t>P0006</t>
  </si>
  <si>
    <t>Network Management Software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</si>
  <si>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</si>
  <si>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</si>
  <si>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</si>
  <si>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</si>
  <si>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</si>
  <si>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</si>
  <si>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</si>
  <si>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</si>
  <si>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</si>
  <si>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</si>
  <si>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</si>
  <si>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</si>
  <si>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</si>
  <si>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</si>
  <si>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</si>
  <si>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</si>
  <si>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</si>
  <si>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</si>
  <si>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</si>
  <si>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</si>
  <si>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</si>
  <si>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</si>
  <si>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</si>
  <si>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</si>
  <si>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</si>
  <si>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</si>
  <si>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</si>
  <si>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</si>
  <si>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</si>
  <si>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</si>
  <si>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</si>
  <si>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</si>
  <si>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</si>
  <si>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</si>
  <si>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</si>
  <si>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</si>
  <si>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</si>
  <si>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</si>
  <si>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</si>
  <si>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</si>
  <si>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</si>
  <si>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</si>
  <si>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</si>
  <si>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</si>
  <si>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</si>
  <si>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</si>
  <si>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</si>
  <si>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</si>
  <si>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</si>
  <si>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</si>
  <si>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</si>
  <si>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</si>
  <si>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</si>
  <si>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</si>
  <si>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</si>
  <si>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</si>
  <si>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</si>
  <si>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</si>
  <si>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</si>
  <si>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</si>
  <si>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</si>
  <si>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</si>
  <si>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</si>
  <si>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</si>
  <si>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</si>
  <si>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</si>
  <si>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</si>
  <si>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</si>
  <si>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</si>
  <si>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</si>
  <si>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</si>
  <si>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</si>
  <si>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</si>
  <si>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</si>
  <si>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</si>
  <si>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</si>
  <si>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</si>
  <si>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</si>
  <si>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</si>
  <si>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</si>
  <si>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</si>
  <si>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</si>
  <si>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</si>
  <si>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</si>
  <si>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</si>
  <si>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</si>
  <si>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</si>
  <si>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</si>
  <si>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</si>
  <si>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</si>
  <si>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</si>
  <si>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</si>
  <si>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</si>
  <si>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</si>
  <si>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</si>
  <si>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</si>
  <si>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</si>
  <si>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</si>
  <si>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</si>
  <si>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</si>
  <si>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</si>
  <si>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</si>
  <si>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</si>
  <si>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</si>
  <si>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</si>
  <si>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</si>
  <si>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</si>
  <si>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</si>
  <si>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</si>
  <si>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</si>
  <si>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</si>
  <si>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</si>
  <si>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</si>
  <si>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</si>
  <si>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</si>
  <si>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</si>
  <si>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</si>
  <si>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</si>
  <si>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</si>
  <si>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</si>
  <si>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</si>
  <si>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</si>
  <si>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</si>
  <si>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</si>
  <si>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</si>
  <si>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</si>
  <si>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</si>
  <si>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</si>
  <si>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</si>
  <si>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</si>
  <si>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</si>
  <si>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</si>
  <si>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</si>
  <si>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</si>
  <si>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</si>
  <si>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</si>
  <si>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</si>
  <si>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</si>
  <si>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</si>
  <si>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</si>
  <si>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</si>
  <si>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</si>
  <si>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</si>
  <si>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</si>
  <si>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</si>
  <si>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</si>
  <si>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</si>
  <si>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</si>
  <si>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</si>
  <si>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</si>
  <si>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</si>
  <si>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</si>
  <si>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</si>
  <si>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</si>
  <si>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</si>
  <si>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</si>
  <si>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</si>
  <si>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</si>
  <si>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</si>
  <si>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</si>
  <si>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</si>
  <si>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</si>
  <si>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</si>
  <si>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</si>
  <si>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</si>
  <si>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</si>
  <si>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</si>
  <si>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</si>
  <si>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</si>
  <si>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</si>
  <si>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</si>
  <si>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</si>
  <si>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</si>
  <si>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</si>
  <si>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</si>
  <si>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</si>
  <si>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</si>
  <si>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</si>
  <si>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</si>
  <si>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</si>
  <si>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</si>
  <si>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</si>
  <si>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</si>
  <si>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</si>
  <si>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</si>
  <si>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</si>
  <si>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</si>
  <si>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</si>
  <si>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</si>
  <si>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</si>
  <si>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</si>
  <si>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</si>
  <si>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</si>
  <si>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</si>
  <si>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</si>
  <si>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</si>
  <si>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</si>
  <si>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</si>
  <si>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</si>
  <si>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</si>
  <si>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</si>
  <si>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</si>
  <si>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</si>
  <si>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</si>
  <si>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</si>
  <si>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</si>
  <si>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</si>
  <si>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</si>
  <si>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</si>
  <si>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</si>
  <si>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</si>
  <si>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</si>
  <si>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</si>
  <si>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</si>
  <si>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</si>
  <si>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</si>
  <si>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</si>
  <si>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</si>
  <si>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</si>
  <si>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</si>
  <si>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</si>
  <si>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</si>
  <si>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</si>
  <si>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</si>
  <si>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</si>
  <si>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</si>
  <si>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</si>
  <si>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</si>
  <si>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</si>
  <si>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</si>
  <si>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</si>
  <si>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</si>
  <si>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</si>
  <si>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</si>
  <si>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</si>
  <si>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</si>
  <si>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</si>
  <si>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</si>
  <si>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</si>
  <si>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</si>
  <si>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</si>
  <si>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</si>
  <si>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</si>
  <si>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</si>
  <si>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</si>
  <si>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</si>
  <si>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</si>
  <si>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</si>
  <si>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</si>
  <si>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</si>
  <si>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</si>
  <si>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</si>
  <si>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</si>
  <si>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</si>
  <si>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</si>
  <si>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</si>
  <si>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</si>
  <si>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</si>
  <si>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</si>
  <si>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</si>
  <si>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</si>
  <si>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</si>
  <si>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</si>
  <si>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</si>
  <si>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</si>
  <si>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</si>
  <si>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</si>
  <si>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</si>
  <si>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</si>
  <si>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</si>
  <si>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</si>
  <si>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</si>
  <si>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</si>
  <si>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</si>
  <si>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</si>
  <si>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</si>
  <si>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</si>
  <si>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</si>
  <si>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</si>
  <si>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</si>
  <si>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</si>
  <si>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</si>
  <si>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</si>
  <si>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</si>
  <si>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</si>
  <si>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</si>
  <si>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</si>
  <si>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</si>
  <si>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</si>
  <si>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</si>
  <si>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</si>
  <si>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</si>
  <si>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</si>
  <si>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</si>
  <si>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</si>
  <si>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</si>
  <si>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</si>
  <si>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</si>
  <si>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</si>
  <si>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</si>
  <si>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</si>
  <si>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</si>
  <si>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</si>
  <si>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</si>
  <si>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</si>
  <si>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</si>
  <si>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</si>
  <si>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</si>
  <si>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</si>
  <si>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</si>
  <si>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</si>
  <si>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</si>
  <si>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</si>
  <si>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</si>
  <si>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</si>
  <si>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</si>
  <si>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</si>
  <si>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</si>
  <si>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</si>
  <si>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</si>
  <si>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</si>
  <si>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</si>
  <si>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</si>
  <si>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</si>
  <si>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</si>
  <si>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</si>
  <si>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</si>
  <si>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</si>
  <si>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</si>
  <si>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</si>
  <si>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</si>
  <si>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</si>
  <si>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</si>
  <si>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</si>
  <si>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</si>
  <si>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</si>
  <si>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</si>
  <si>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</si>
  <si>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</si>
  <si>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</si>
  <si>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</si>
  <si>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</si>
  <si>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</si>
  <si>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</si>
  <si>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</si>
  <si>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</si>
  <si>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</si>
  <si>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</si>
  <si>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</si>
  <si>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</si>
  <si>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</si>
  <si>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</si>
  <si>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</si>
  <si>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</si>
  <si>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</si>
  <si>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</si>
  <si>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</si>
  <si>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</si>
  <si>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</si>
  <si>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</si>
  <si>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</si>
  <si>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</si>
  <si>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</si>
  <si>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</si>
  <si>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</si>
  <si>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</si>
  <si>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</si>
  <si>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</si>
  <si>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</si>
  <si>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</si>
  <si>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</si>
  <si>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</si>
  <si>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</si>
  <si>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</si>
  <si>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</si>
  <si>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</si>
  <si>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</si>
  <si>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</si>
  <si>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</si>
  <si>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</si>
  <si>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</si>
  <si>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</si>
  <si>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</si>
  <si>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</si>
  <si>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</si>
  <si>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</si>
  <si>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</si>
  <si>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</si>
  <si>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</si>
  <si>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</si>
  <si>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</si>
  <si>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</si>
  <si>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</si>
  <si>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</si>
  <si>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</si>
  <si>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</si>
  <si>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</si>
  <si>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</si>
  <si>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</si>
  <si>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</si>
  <si>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</si>
  <si>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</si>
  <si>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</si>
  <si>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</si>
  <si>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</si>
  <si>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</si>
  <si>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</si>
  <si>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</si>
  <si>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</si>
  <si>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</si>
  <si>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</si>
  <si>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</si>
  <si>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</si>
  <si>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</si>
  <si>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</si>
  <si>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</si>
  <si>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</si>
  <si>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</si>
  <si>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</si>
  <si>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</si>
  <si>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</si>
  <si>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</si>
  <si>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</si>
  <si>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</si>
  <si>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</si>
  <si>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</si>
  <si>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</si>
  <si>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</si>
  <si>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</si>
  <si>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</si>
  <si>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</si>
  <si>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</si>
  <si>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</si>
  <si>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</si>
  <si>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</si>
  <si>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</si>
  <si>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</si>
  <si>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</si>
  <si>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</si>
  <si>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</si>
  <si>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</si>
  <si>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</si>
  <si>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</si>
  <si>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</si>
  <si>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</si>
  <si>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</si>
  <si>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</si>
  <si>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</si>
  <si>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</si>
  <si>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</si>
  <si>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</si>
  <si>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</si>
  <si>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</si>
  <si>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</si>
  <si>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</si>
  <si>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</si>
  <si>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</si>
  <si>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</si>
  <si>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</si>
  <si>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</si>
  <si>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</si>
  <si>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</si>
  <si>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</si>
  <si>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</si>
  <si>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</si>
  <si>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</si>
  <si>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</si>
  <si>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</si>
  <si>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</si>
  <si>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</si>
  <si>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</si>
  <si>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</si>
  <si>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</si>
  <si>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</si>
  <si>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</si>
  <si>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</si>
  <si>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</si>
  <si>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</si>
  <si>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</si>
  <si>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</si>
  <si>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</si>
  <si>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</si>
  <si>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</si>
  <si>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</si>
  <si>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</si>
  <si>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</si>
  <si>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</si>
  <si>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</si>
  <si>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</si>
  <si>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</si>
  <si>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</si>
  <si>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</si>
  <si>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</si>
  <si>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</si>
  <si>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</si>
  <si>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</si>
  <si>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</si>
  <si>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</si>
  <si>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</si>
  <si>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</si>
  <si>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</si>
  <si>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</si>
  <si>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</si>
  <si>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</si>
  <si>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</si>
  <si>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</si>
  <si>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</si>
  <si>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</si>
  <si>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</si>
  <si>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</si>
  <si>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</si>
  <si>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</si>
  <si>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</si>
  <si>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</si>
  <si>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</si>
  <si>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</si>
  <si>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</si>
  <si>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</si>
  <si>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</si>
  <si>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</si>
  <si>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</si>
  <si>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</si>
  <si>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</si>
  <si>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</si>
  <si>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</si>
  <si>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</si>
  <si>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</si>
  <si>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</si>
  <si>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</si>
  <si>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</si>
  <si>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</si>
  <si>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</si>
  <si>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</si>
  <si>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</si>
  <si>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</si>
  <si>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</si>
  <si>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</si>
  <si>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</si>
  <si>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</si>
  <si>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</si>
  <si>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</si>
  <si>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</si>
  <si>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</si>
  <si>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</si>
  <si>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</si>
  <si>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</si>
  <si>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</si>
  <si>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</si>
  <si>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</si>
  <si>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</si>
  <si>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</si>
  <si>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</si>
  <si>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</si>
  <si>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</si>
  <si>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</si>
  <si>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</si>
  <si>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</si>
  <si>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</si>
  <si>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</si>
  <si>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</si>
  <si>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</si>
  <si>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</si>
  <si>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</si>
  <si>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</si>
  <si>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</si>
  <si>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</si>
  <si>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</si>
  <si>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</si>
  <si>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</si>
  <si>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</si>
  <si>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</si>
  <si>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</si>
  <si>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</si>
  <si>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</si>
  <si>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</si>
  <si>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</si>
  <si>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</si>
  <si>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</si>
  <si>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</si>
  <si>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</si>
  <si>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</si>
  <si>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</si>
  <si>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</si>
  <si>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</si>
  <si>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</si>
  <si>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</si>
  <si>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</si>
  <si>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</si>
  <si>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</si>
  <si>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</si>
  <si>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</si>
  <si>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</si>
  <si>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</si>
  <si>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</si>
  <si>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</si>
  <si>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</si>
  <si>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</si>
  <si>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</si>
  <si>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</si>
  <si>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</si>
  <si>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</si>
  <si>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</si>
  <si>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</si>
  <si>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</si>
  <si>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</si>
  <si>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</si>
  <si>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</si>
  <si>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</si>
  <si>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</si>
  <si>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</si>
  <si>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</si>
  <si>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</si>
  <si>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</si>
  <si>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</si>
  <si>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</si>
  <si>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</si>
  <si>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</si>
  <si>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</si>
  <si>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</si>
  <si>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</si>
  <si>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</si>
  <si>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</si>
  <si>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</si>
  <si>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</si>
  <si>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</si>
  <si>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</si>
  <si>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</si>
  <si>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</si>
  <si>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</si>
  <si>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</si>
  <si>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</si>
  <si>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</si>
  <si>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</si>
  <si>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</si>
  <si>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</si>
  <si>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</si>
  <si>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</si>
  <si>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</si>
  <si>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</si>
  <si>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</si>
  <si>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</si>
  <si>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</si>
  <si>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</si>
  <si>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</si>
  <si>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</si>
  <si>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</si>
  <si>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</si>
  <si>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</si>
  <si>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</si>
  <si>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</si>
  <si>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</si>
  <si>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</si>
  <si>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</si>
  <si>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</si>
  <si>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</si>
  <si>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</si>
  <si>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</si>
  <si>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</si>
  <si>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</si>
  <si>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</si>
  <si>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</si>
  <si>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</si>
  <si>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</si>
  <si>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</si>
  <si>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</si>
  <si>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</si>
  <si>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</si>
  <si>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</si>
  <si>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</si>
  <si>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</si>
  <si>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</si>
  <si>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</si>
  <si>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</si>
  <si>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</si>
  <si>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</si>
  <si>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</si>
  <si>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</si>
  <si>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</si>
  <si>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</si>
  <si>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</si>
  <si>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</si>
  <si>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</si>
  <si>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</si>
  <si>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</si>
  <si>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</si>
  <si>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</si>
  <si>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</si>
  <si>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</si>
  <si>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</si>
  <si>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</si>
  <si>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</si>
  <si>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</si>
  <si>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</si>
  <si>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</si>
  <si>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</si>
  <si>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</si>
  <si>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</si>
  <si>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</si>
  <si>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</si>
  <si>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</si>
  <si>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</si>
  <si>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</si>
  <si>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</si>
  <si>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</si>
  <si>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</si>
  <si>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</si>
  <si>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</si>
  <si>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</si>
  <si>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</si>
  <si>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</si>
  <si>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</si>
  <si>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</si>
  <si>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</si>
  <si>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</si>
  <si>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</si>
  <si>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</si>
  <si>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</si>
  <si>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</si>
  <si>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</si>
  <si>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</si>
  <si>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</si>
  <si>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</si>
  <si>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</si>
  <si>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</si>
  <si>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</si>
  <si>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</si>
  <si>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</si>
  <si>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</si>
  <si>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</si>
  <si>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</si>
  <si>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</si>
  <si>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</si>
  <si>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</si>
  <si>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</si>
  <si>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</si>
  <si>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</si>
  <si>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</si>
  <si>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</si>
  <si>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</si>
  <si>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</si>
  <si>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</si>
  <si>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</si>
  <si>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</si>
  <si>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</si>
  <si>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</si>
  <si>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</si>
  <si>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</si>
  <si>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</si>
  <si>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</si>
  <si>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</si>
  <si>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</si>
  <si>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</si>
  <si>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</si>
  <si>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</si>
  <si>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</si>
  <si>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</si>
  <si>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</si>
  <si>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</si>
  <si>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</si>
  <si>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</si>
  <si>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</si>
  <si>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</si>
  <si>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</si>
  <si>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</si>
  <si>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</si>
  <si>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</si>
  <si>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</si>
  <si>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</si>
  <si>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</si>
  <si>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</si>
  <si>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</si>
  <si>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</si>
  <si>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</si>
  <si>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</si>
  <si>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</si>
  <si>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</si>
  <si>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</si>
  <si>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</si>
  <si>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</si>
  <si>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</si>
  <si>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</si>
  <si>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</si>
  <si>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</si>
  <si>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</si>
  <si>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</si>
  <si>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</si>
  <si>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</si>
  <si>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</si>
  <si>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</si>
  <si>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</si>
  <si>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</si>
  <si>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</si>
  <si>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</si>
  <si>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</si>
  <si>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</si>
  <si>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</si>
  <si>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</si>
  <si>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</si>
  <si>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</si>
  <si>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</si>
  <si>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</si>
  <si>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</si>
  <si>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</si>
  <si>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</si>
  <si>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</si>
  <si>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</si>
  <si>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</si>
  <si>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</si>
  <si>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</si>
  <si>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</si>
  <si>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</si>
  <si>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</si>
  <si>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</si>
  <si>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</si>
  <si>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</si>
  <si>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</si>
  <si>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</si>
  <si>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</si>
  <si>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</si>
  <si>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</si>
  <si>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</si>
  <si>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</si>
  <si>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</si>
  <si>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</si>
  <si>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</si>
  <si>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</si>
  <si>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</si>
  <si>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</si>
  <si>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</si>
  <si>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</si>
  <si>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</si>
  <si>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</si>
  <si>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</si>
  <si>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</si>
  <si>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</si>
  <si>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</si>
  <si>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</si>
  <si>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</si>
  <si>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</si>
  <si>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</si>
  <si>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</si>
  <si>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</si>
  <si>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</si>
  <si>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</si>
  <si>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</si>
  <si>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</si>
  <si>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</si>
  <si>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</si>
  <si>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</si>
  <si>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</si>
  <si>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</si>
  <si>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</si>
  <si>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</si>
  <si>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</si>
  <si>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</si>
  <si>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</si>
  <si>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</si>
  <si>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</si>
  <si>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</si>
  <si>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</si>
  <si>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</si>
  <si>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</si>
  <si>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</si>
  <si>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</si>
  <si>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</si>
  <si>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</si>
  <si>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</si>
  <si>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</si>
  <si>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</si>
  <si>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</si>
  <si>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</si>
  <si>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</si>
  <si>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</si>
  <si>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</si>
  <si>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</si>
  <si>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</si>
  <si>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</si>
  <si>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</si>
  <si>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</si>
  <si>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</si>
  <si>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</si>
  <si>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</si>
  <si>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</si>
  <si>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</si>
  <si>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</si>
  <si>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</si>
  <si>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</si>
  <si>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</si>
  <si>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</si>
  <si>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</si>
  <si>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</si>
  <si>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</si>
  <si>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</si>
  <si>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</si>
  <si>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</si>
  <si>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</si>
  <si>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</si>
  <si>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</si>
  <si>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</si>
  <si>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</si>
  <si>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</si>
  <si>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</si>
  <si>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</si>
  <si>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</si>
  <si>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</si>
  <si>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</si>
  <si>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</si>
  <si>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</si>
  <si>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</si>
  <si>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</si>
  <si>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</si>
  <si>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</si>
  <si>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</si>
  <si>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</si>
  <si>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</si>
  <si>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</si>
  <si>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</si>
  <si>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</si>
  <si>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</si>
  <si>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</si>
  <si>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</si>
  <si>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</si>
  <si>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</si>
  <si>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</si>
  <si>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</si>
  <si>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</si>
  <si>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</si>
  <si>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</si>
  <si>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</si>
  <si>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</si>
  <si>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</si>
  <si>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</si>
  <si>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</si>
  <si>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</si>
  <si>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</si>
  <si>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</si>
  <si>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</si>
  <si>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</si>
  <si>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</si>
  <si>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</si>
  <si>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</si>
  <si>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</si>
  <si>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</si>
  <si>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</si>
  <si>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</si>
  <si>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</si>
  <si>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</si>
  <si>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</si>
  <si>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</si>
  <si>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</si>
  <si>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</si>
  <si>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</si>
  <si>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</si>
  <si>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</si>
  <si>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</si>
  <si>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</si>
  <si>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</si>
  <si>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</si>
  <si>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</si>
  <si>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</si>
  <si>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</si>
  <si>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</si>
  <si>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</si>
  <si>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</si>
  <si>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</si>
  <si>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</si>
  <si>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</si>
  <si>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</si>
  <si>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</si>
  <si>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</si>
  <si>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</si>
  <si>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</si>
  <si>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</si>
  <si>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</si>
  <si>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</si>
  <si>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</si>
  <si>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</si>
  <si>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</si>
  <si>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</si>
  <si>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</si>
  <si>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</si>
  <si>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</si>
  <si>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</si>
  <si>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</si>
  <si>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</si>
  <si>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</si>
  <si>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</si>
  <si>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</si>
  <si>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</si>
  <si>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</si>
  <si>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</si>
  <si>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</si>
  <si>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</si>
  <si>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</si>
  <si>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 xml:space="preserve"> Profit Margin</t>
  </si>
  <si>
    <t>Portfolio</t>
  </si>
  <si>
    <t>Products</t>
  </si>
  <si>
    <t>Revenue(€m)</t>
  </si>
  <si>
    <t>Profit(€m)</t>
  </si>
  <si>
    <t>Margin%</t>
  </si>
  <si>
    <t>Revenue Share%</t>
  </si>
  <si>
    <t>Profit Share %</t>
  </si>
  <si>
    <t>Profit Share%</t>
  </si>
  <si>
    <t>TOTAL</t>
  </si>
  <si>
    <t xml:space="preserve">Standard Margin </t>
  </si>
  <si>
    <t>Metric</t>
  </si>
  <si>
    <t>Revenue Share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</si>
</sst>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3" borderId="2" xfId="0" applyFill="1" applyBorder="1"/>
    <xf numFmtId="10" fontId="0" fillId="0" borderId="0" xfId="1" applyNumberFormat="1" applyFont="1"/>
    <xf numFmtId="0" fontId="0" fillId="3" borderId="1" xfId="0" applyFill="1" applyBorder="1"/>
    <xf numFmtId="0" fontId="0" fillId="0" borderId="1" xfId="0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4" xfId="0" applyBorder="1"/>
    <xf numFmtId="0" fontId="0" fillId="0" borderId="5" xfId="0" applyBorder="1"/>
    <xf numFmtId="10" fontId="0" fillId="3" borderId="5" xfId="1" applyNumberFormat="1" applyFont="1" applyFill="1" applyBorder="1"/>
    <xf numFmtId="9" fontId="0" fillId="3" borderId="2" xfId="0" applyNumberFormat="1" applyFill="1" applyBorder="1"/>
    <xf numFmtId="9" fontId="0" fillId="3" borderId="3" xfId="0" applyNumberFormat="1" applyFill="1" applyBorder="1"/>
    <xf numFmtId="0" fontId="2" fillId="2" borderId="0" xfId="0" applyFont="1" applyFill="1"/>
    <xf numFmtId="10" fontId="0" fillId="0" borderId="0" xfId="0" applyNumberFormat="1"/>
    <xf numFmtId="164" fontId="0" fillId="3" borderId="6" xfId="1" applyNumberFormat="1" applyFont="1" applyFill="1" applyBorder="1"/>
    <xf numFmtId="10" fontId="0" fillId="3" borderId="6" xfId="1" applyNumberFormat="1" applyFont="1" applyFill="1" applyBorder="1"/>
    <xf numFmtId="10" fontId="2" fillId="2" borderId="4" xfId="0" applyNumberFormat="1" applyFont="1" applyFill="1" applyBorder="1"/>
    <xf numFmtId="10" fontId="0" fillId="3" borderId="5" xfId="0" applyNumberFormat="1" applyFill="1" applyBorder="1"/>
    <xf numFmtId="10" fontId="0" fillId="3" borderId="6" xfId="0" applyNumberFormat="1" applyFill="1" applyBorder="1"/>
    <xf numFmtId="10" fontId="0" fillId="0" borderId="2" xfId="0" applyNumberFormat="1" applyBorder="1"/>
    <xf numFmtId="10" fontId="0" fillId="0" borderId="3" xfId="0" applyNumberFormat="1" applyBorder="1"/>
  </cellXfs>
  <cellStyles count="2">
    <cellStyle name="Normal" xfId="0" builtinId="0"/>
    <cellStyle name="Percent" xfId="1" builtinId="5"/>
  </cellStyles>
  <dxfs count="3"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Margin by Portfolio (</a:t>
            </a:r>
            <a:r>
              <a:rPr lang="en-US" b="1"/>
              <a:t>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0.36933856830357054"/>
          <c:y val="0.1193083315178488"/>
          <c:w val="0.63066143169642952"/>
          <c:h val="0.823155706327222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Summary!$E$1</c:f>
              <c:strCache>
                <c:ptCount val="1"/>
                <c:pt idx="0">
                  <c:v>Margin%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E65-400E-8910-48BB82E3716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54-41B7-826D-ABB732A29F7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54-41B7-826D-ABB732A29F7E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54-41B7-826D-ABB732A29F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Summary!$A$2:$A$5</c:f>
              <c:strCache>
                <c:ptCount val="4"/>
                <c:pt idx="0">
                  <c:v>Network Management Software</c:v>
                </c:pt>
                <c:pt idx="1">
                  <c:v>WLAN</c:v>
                </c:pt>
                <c:pt idx="2">
                  <c:v>Switch</c:v>
                </c:pt>
                <c:pt idx="3">
                  <c:v>Router</c:v>
                </c:pt>
              </c:strCache>
            </c:strRef>
          </c:cat>
          <c:val>
            <c:numRef>
              <c:f>Summary!$E$2:$E$5</c:f>
              <c:numCache>
                <c:formatCode>0.00%</c:formatCode>
                <c:ptCount val="4"/>
                <c:pt idx="0">
                  <c:v>0.43996290571870189</c:v>
                </c:pt>
                <c:pt idx="1">
                  <c:v>0.27644683209926885</c:v>
                </c:pt>
                <c:pt idx="2">
                  <c:v>0.24712671444292339</c:v>
                </c:pt>
                <c:pt idx="3">
                  <c:v>0.22358521649448354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54-41B7-826D-ABB732A29F7E}"/>
            </c:ext>
          </c:extLst>
        </c:ser>
        <c:ser>
          <c:idx val="1"/>
          <c:order val="1"/>
          <c:tx>
            <c:v>Avg</c:v>
          </c:tx>
          <c:spPr>
            <a:solidFill>
              <a:schemeClr val="tx2">
                <a:lumMod val="25000"/>
                <a:lumOff val="75000"/>
              </a:schemeClr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Summary!$H$2:$H$5</c:f>
              <c:numCache>
                <c:formatCode>0.00%</c:formatCode>
                <c:ptCount val="4"/>
                <c:pt idx="0">
                  <c:v>0.26268474475547005</c:v>
                </c:pt>
                <c:pt idx="1">
                  <c:v>0.26268474475547005</c:v>
                </c:pt>
                <c:pt idx="2">
                  <c:v>0.26268474475547005</c:v>
                </c:pt>
                <c:pt idx="3">
                  <c:v>0.26268474475547005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354-41B7-826D-ABB732A29F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469541552"/>
        <c:axId val="469535312"/>
      </c:barChart>
      <c:catAx>
        <c:axId val="46954155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ln>
                  <a:noFill/>
                </a:ln>
                <a:solidFill>
                  <a:schemeClr val="tx1">
                    <a:lumMod val="95000"/>
                    <a:lumOff val="5000"/>
                    <a:alpha val="88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DE"/>
          </a:p>
        </c:txPr>
        <c:crossAx val="469535312"/>
        <c:crosses val="autoZero"/>
        <c:auto val="1"/>
        <c:lblAlgn val="ctr"/>
        <c:lblOffset val="100"/>
        <c:noMultiLvlLbl val="0"/>
      </c:catAx>
      <c:valAx>
        <c:axId val="469535312"/>
        <c:scaling>
          <c:orientation val="minMax"/>
        </c:scaling>
        <c:delete val="1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crossAx val="46954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200" b="1"/>
              <a:t>Revenue</a:t>
            </a:r>
            <a:r>
              <a:rPr lang="de-DE" sz="1200" b="1" baseline="0"/>
              <a:t> &amp; Profit Share by Portfolio</a:t>
            </a:r>
          </a:p>
          <a:p>
            <a:pPr>
              <a:defRPr/>
            </a:pPr>
            <a:endParaRPr lang="de-DE"/>
          </a:p>
        </c:rich>
      </c:tx>
      <c:layout>
        <c:manualLayout>
          <c:xMode val="edge"/>
          <c:yMode val="edge"/>
          <c:x val="0.18126279699330777"/>
          <c:y val="1.71543454766364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0.15416305946049938"/>
          <c:y val="0.10908289241622576"/>
          <c:w val="0.79784392134229298"/>
          <c:h val="0.5288415336971767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Summary!$B$10</c:f>
              <c:strCache>
                <c:ptCount val="1"/>
                <c:pt idx="0">
                  <c:v>Network Management Software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AD9-4813-B9D1-31669C593FF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D9-4813-B9D1-31669C593F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Summary!$A$11:$A$12</c:f>
              <c:strCache>
                <c:ptCount val="2"/>
                <c:pt idx="0">
                  <c:v>Revenue Share %</c:v>
                </c:pt>
                <c:pt idx="1">
                  <c:v>Profit Share %</c:v>
                </c:pt>
              </c:strCache>
            </c:strRef>
          </c:cat>
          <c:val>
            <c:numRef>
              <c:f>Summary!$B$11:$B$12</c:f>
              <c:numCache>
                <c:formatCode>0.00%</c:formatCode>
                <c:ptCount val="2"/>
                <c:pt idx="0">
                  <c:v>7.9572517251370906E-2</c:v>
                </c:pt>
                <c:pt idx="1">
                  <c:v>0.13327365446308684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D9-4813-B9D1-31669C593FFC}"/>
            </c:ext>
          </c:extLst>
        </c:ser>
        <c:ser>
          <c:idx val="1"/>
          <c:order val="1"/>
          <c:tx>
            <c:strRef>
              <c:f>Summary!$C$10</c:f>
              <c:strCache>
                <c:ptCount val="1"/>
                <c:pt idx="0">
                  <c:v>WLAN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Summary!$A$11:$A$12</c:f>
              <c:strCache>
                <c:ptCount val="2"/>
                <c:pt idx="0">
                  <c:v>Revenue Share %</c:v>
                </c:pt>
                <c:pt idx="1">
                  <c:v>Profit Share %</c:v>
                </c:pt>
              </c:strCache>
            </c:strRef>
          </c:cat>
          <c:val>
            <c:numRef>
              <c:f>Summary!$C$11:$C$12</c:f>
              <c:numCache>
                <c:formatCode>0.00%</c:formatCode>
                <c:ptCount val="2"/>
                <c:pt idx="0">
                  <c:v>0.2098840135246223</c:v>
                </c:pt>
                <c:pt idx="1">
                  <c:v>0.22087986381231878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D9-4813-B9D1-31669C593FFC}"/>
            </c:ext>
          </c:extLst>
        </c:ser>
        <c:ser>
          <c:idx val="2"/>
          <c:order val="2"/>
          <c:tx>
            <c:strRef>
              <c:f>Summary!$D$10</c:f>
              <c:strCache>
                <c:ptCount val="1"/>
                <c:pt idx="0">
                  <c:v>Switch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Summary!$A$11:$A$12</c:f>
              <c:strCache>
                <c:ptCount val="2"/>
                <c:pt idx="0">
                  <c:v>Revenue Share %</c:v>
                </c:pt>
                <c:pt idx="1">
                  <c:v>Profit Share %</c:v>
                </c:pt>
              </c:strCache>
            </c:strRef>
          </c:cat>
          <c:val>
            <c:numRef>
              <c:f>Summary!$D$11:$D$12</c:f>
              <c:numCache>
                <c:formatCode>0.00%</c:formatCode>
                <c:ptCount val="2"/>
                <c:pt idx="0">
                  <c:v>0.45821225274100885</c:v>
                </c:pt>
                <c:pt idx="1">
                  <c:v>0.43107371401710587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D9-4813-B9D1-31669C593FFC}"/>
            </c:ext>
          </c:extLst>
        </c:ser>
        <c:ser>
          <c:idx val="3"/>
          <c:order val="3"/>
          <c:tx>
            <c:strRef>
              <c:f>Summary!$E$10</c:f>
              <c:strCache>
                <c:ptCount val="1"/>
                <c:pt idx="0">
                  <c:v>Router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Summary!$A$11:$A$12</c:f>
              <c:strCache>
                <c:ptCount val="2"/>
                <c:pt idx="0">
                  <c:v>Revenue Share %</c:v>
                </c:pt>
                <c:pt idx="1">
                  <c:v>Profit Share %</c:v>
                </c:pt>
              </c:strCache>
            </c:strRef>
          </c:cat>
          <c:val>
            <c:numRef>
              <c:f>Summary!$E$11:$E$12</c:f>
              <c:numCache>
                <c:formatCode>0.00%</c:formatCode>
                <c:ptCount val="2"/>
                <c:pt idx="0">
                  <c:v>0.25233121648299806</c:v>
                </c:pt>
                <c:pt idx="1">
                  <c:v>0.21477276770748865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D9-4813-B9D1-31669C593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9493552"/>
        <c:axId val="469494992"/>
      </c:barChart>
      <c:catAx>
        <c:axId val="46949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DE"/>
          </a:p>
        </c:txPr>
        <c:crossAx val="469494992"/>
        <c:crosses val="autoZero"/>
        <c:auto val="1"/>
        <c:lblAlgn val="ctr"/>
        <c:lblOffset val="100"/>
        <c:noMultiLvlLbl val="0"/>
      </c:catAx>
      <c:valAx>
        <c:axId val="46949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DE"/>
          </a:p>
        </c:txPr>
        <c:crossAx val="46949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38805293317393"/>
          <c:y val="0.72439660320237742"/>
          <c:w val="0.73332062222588668"/>
          <c:h val="0.234443616542817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DE"/>
              <a:t>Product Count Distribution</a:t>
            </a:r>
          </a:p>
        </c:rich>
      </c:tx>
      <c:layout>
        <c:manualLayout>
          <c:xMode val="edge"/>
          <c:yMode val="edge"/>
          <c:x val="0.2364687678066148"/>
          <c:y val="1.22261667591128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DE"/>
        </a:p>
      </c:txPr>
    </c:title>
    <c:autoTitleDeleted val="0"/>
    <c:plotArea>
      <c:layout/>
      <c:pieChart>
        <c:varyColors val="1"/>
        <c:ser>
          <c:idx val="0"/>
          <c:order val="0"/>
          <c:tx>
            <c:v>Product Count</c:v>
          </c:tx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5E-4632-B925-5E2ED9C398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5E-4632-B925-5E2ED9C398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5E-4632-B925-5E2ED9C398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B5E-4632-B925-5E2ED9C39800}"/>
              </c:ext>
            </c:extLst>
          </c:dPt>
          <c:dLbls>
            <c:dLbl>
              <c:idx val="0"/>
              <c:layout>
                <c:manualLayout>
                  <c:x val="9.0636470921908966E-3"/>
                  <c:y val="3.695163119924893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122609673790776"/>
                      <c:h val="0.2495898503150321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B5E-4632-B925-5E2ED9C39800}"/>
                </c:ext>
              </c:extLst>
            </c:dLbl>
            <c:dLbl>
              <c:idx val="1"/>
              <c:layout>
                <c:manualLayout>
                  <c:x val="0"/>
                  <c:y val="6.864211978306944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5E-4632-B925-5E2ED9C39800}"/>
                </c:ext>
              </c:extLst>
            </c:dLbl>
            <c:dLbl>
              <c:idx val="2"/>
              <c:layout>
                <c:manualLayout>
                  <c:x val="-7.7777777777777779E-2"/>
                  <c:y val="-9.259259259259258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5E-4632-B925-5E2ED9C39800}"/>
                </c:ext>
              </c:extLst>
            </c:dLbl>
            <c:dLbl>
              <c:idx val="3"/>
              <c:layout>
                <c:manualLayout>
                  <c:x val="-6.1111111111111109E-2"/>
                  <c:y val="4.166666666666666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B5E-4632-B925-5E2ED9C398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Summary!$A$2:$A$5</c:f>
              <c:strCache>
                <c:ptCount val="4"/>
                <c:pt idx="0">
                  <c:v>Network Management Software</c:v>
                </c:pt>
                <c:pt idx="1">
                  <c:v>WLAN</c:v>
                </c:pt>
                <c:pt idx="2">
                  <c:v>Switch</c:v>
                </c:pt>
                <c:pt idx="3">
                  <c:v>Router</c:v>
                </c:pt>
              </c:strCache>
            </c:strRef>
          </c:cat>
          <c:val>
            <c:numRef>
              <c:f>Summary!$B$2:$B$5</c:f>
              <c:numCache>
                <c:formatCode>General</c:formatCode>
                <c:ptCount val="4"/>
                <c:pt idx="0">
                  <c:v>145</c:v>
                </c:pt>
                <c:pt idx="1">
                  <c:v>254</c:v>
                </c:pt>
                <c:pt idx="2">
                  <c:v>368</c:v>
                </c:pt>
                <c:pt idx="3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5E-4632-B925-5E2ED9C39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DE"/>
    </a:p>
  </c:txPr>
  <c:printSettings>
    <c:headerFooter>
      <c:oddHeader>&amp;C&amp;"-,Bold"&amp;14Portfolio Performance Review - Product Group Analysis
</c:oddHeader>
    </c:headerFooter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3.xml"/><Relationship Id="rId7" Type="http://schemas.openxmlformats.org/officeDocument/2006/relationships/image" Target="../media/image4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image" Target="../media/image8.svg"/><Relationship Id="rId5" Type="http://schemas.openxmlformats.org/officeDocument/2006/relationships/image" Target="../media/image2.svg"/><Relationship Id="rId10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581342</xdr:colOff>
      <xdr:row>0</xdr:row>
      <xdr:rowOff>30797</xdr:rowOff>
    </xdr:from>
    <xdr:to>
      <xdr:col>18</xdr:col>
      <xdr:colOff>14605</xdr:colOff>
      <xdr:row>2</xdr:row>
      <xdr:rowOff>137477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7628592-CCA8-6D19-5A7D-D5526F2BE812}"/>
            </a:ext>
          </a:extLst>
        </xdr:cNvPr>
        <xdr:cNvSpPr/>
      </xdr:nvSpPr>
      <xdr:spPr>
        <a:xfrm>
          <a:off x="9582467" y="30797"/>
          <a:ext cx="2005013" cy="47180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Total Revenue</a:t>
          </a:r>
          <a:br>
            <a:rPr lang="en-US" sz="12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€20.33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 Billion</a:t>
          </a:r>
          <a:endParaRPr lang="en-DE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520700</xdr:colOff>
      <xdr:row>0</xdr:row>
      <xdr:rowOff>55245</xdr:rowOff>
    </xdr:from>
    <xdr:to>
      <xdr:col>3</xdr:col>
      <xdr:colOff>596899</xdr:colOff>
      <xdr:row>2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A11D0FE-F674-45EA-8792-E4A87FDFFC1C}"/>
            </a:ext>
          </a:extLst>
        </xdr:cNvPr>
        <xdr:cNvSpPr/>
      </xdr:nvSpPr>
      <xdr:spPr>
        <a:xfrm>
          <a:off x="520700" y="55245"/>
          <a:ext cx="2005012" cy="47180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Overall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Profit Margin</a:t>
          </a:r>
          <a:b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200" b="0" baseline="0">
              <a:latin typeface="Arial" panose="020B0604020202020204" pitchFamily="34" charset="0"/>
              <a:cs typeface="Arial" panose="020B0604020202020204" pitchFamily="34" charset="0"/>
            </a:rPr>
            <a:t>26.27%</a:t>
          </a:r>
          <a:endParaRPr lang="en-DE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198120</xdr:colOff>
      <xdr:row>0</xdr:row>
      <xdr:rowOff>22860</xdr:rowOff>
    </xdr:from>
    <xdr:to>
      <xdr:col>11</xdr:col>
      <xdr:colOff>274320</xdr:colOff>
      <xdr:row>2</xdr:row>
      <xdr:rowOff>129540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5F91850-268A-44F3-B834-5403A7B1E5F7}"/>
            </a:ext>
          </a:extLst>
        </xdr:cNvPr>
        <xdr:cNvSpPr/>
      </xdr:nvSpPr>
      <xdr:spPr>
        <a:xfrm>
          <a:off x="5318760" y="22860"/>
          <a:ext cx="1996440" cy="472440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Total Profit</a:t>
          </a:r>
          <a:br>
            <a:rPr lang="en-US" sz="12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€</a:t>
          </a:r>
          <a:r>
            <a:rPr lang="en-DE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.34</a:t>
          </a:r>
          <a:r>
            <a:rPr lang="en-US" sz="12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Billion</a:t>
          </a:r>
          <a:endParaRPr lang="en-DE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103187</xdr:colOff>
      <xdr:row>3</xdr:row>
      <xdr:rowOff>7937</xdr:rowOff>
    </xdr:from>
    <xdr:to>
      <xdr:col>6</xdr:col>
      <xdr:colOff>396875</xdr:colOff>
      <xdr:row>25</xdr:row>
      <xdr:rowOff>7937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5B4E6A-1AB2-4A51-BAFC-DFB23BE4D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508000</xdr:colOff>
      <xdr:row>3</xdr:row>
      <xdr:rowOff>15875</xdr:rowOff>
    </xdr:from>
    <xdr:to>
      <xdr:col>18</xdr:col>
      <xdr:colOff>601980</xdr:colOff>
      <xdr:row>25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BF31415-C6CD-46BE-BBC6-840D2A327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434341</xdr:colOff>
      <xdr:row>3</xdr:row>
      <xdr:rowOff>-1</xdr:rowOff>
    </xdr:from>
    <xdr:to>
      <xdr:col>12</xdr:col>
      <xdr:colOff>476250</xdr:colOff>
      <xdr:row>25</xdr:row>
      <xdr:rowOff>23811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BB8F9E0-5CEB-4A9C-8142-9A68E419BC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169226</xdr:colOff>
      <xdr:row>28</xdr:row>
      <xdr:rowOff>0</xdr:rowOff>
    </xdr:from>
    <xdr:to>
      <xdr:col>4</xdr:col>
      <xdr:colOff>373061</xdr:colOff>
      <xdr:row>45</xdr:row>
      <xdr:rowOff>126999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91B235A-AC3D-54EA-2FEE-1D0014A2EEE8}"/>
            </a:ext>
          </a:extLst>
        </xdr:cNvPr>
        <xdr:cNvSpPr/>
      </xdr:nvSpPr>
      <xdr:spPr>
        <a:xfrm>
          <a:off x="169226" y="5111750"/>
          <a:ext cx="2775585" cy="3230562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      </a:t>
          </a:r>
          <a:r>
            <a:rPr lang="en-US" sz="1100" baseline="0"/>
            <a:t>   </a:t>
          </a:r>
          <a:r>
            <a:rPr lang="en-US" sz="11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Scale up: Network   </a:t>
          </a:r>
          <a:r>
            <a:rPr lang="en-US" sz="1100" b="1" baseline="0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1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Management</a:t>
          </a:r>
          <a:r>
            <a:rPr lang="en-US" sz="1100" b="1" baseline="0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Software</a:t>
          </a:r>
          <a:endParaRPr lang="en-DE" sz="1100" b="1">
            <a:solidFill>
              <a:schemeClr val="tx2">
                <a:lumMod val="50000"/>
                <a:lumOff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86994</xdr:colOff>
      <xdr:row>28</xdr:row>
      <xdr:rowOff>15875</xdr:rowOff>
    </xdr:from>
    <xdr:to>
      <xdr:col>9</xdr:col>
      <xdr:colOff>211772</xdr:colOff>
      <xdr:row>45</xdr:row>
      <xdr:rowOff>150812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0C96F1E-F170-401A-8867-57647EC913AE}"/>
            </a:ext>
          </a:extLst>
        </xdr:cNvPr>
        <xdr:cNvSpPr/>
      </xdr:nvSpPr>
      <xdr:spPr>
        <a:xfrm>
          <a:off x="3301682" y="5127625"/>
          <a:ext cx="2696528" cy="3238500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            </a:t>
          </a:r>
          <a:r>
            <a:rPr lang="en-US" sz="1100" b="1">
              <a:solidFill>
                <a:schemeClr val="accent3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Invest &amp;</a:t>
          </a:r>
          <a:r>
            <a:rPr lang="en-US" sz="1100" b="1" baseline="0">
              <a:solidFill>
                <a:schemeClr val="accent3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Optimise: WLAN</a:t>
          </a:r>
          <a:endParaRPr lang="en-DE" sz="1100" b="1">
            <a:solidFill>
              <a:schemeClr val="accent3">
                <a:lumMod val="60000"/>
                <a:lumOff val="4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529396</xdr:colOff>
      <xdr:row>28</xdr:row>
      <xdr:rowOff>7938</xdr:rowOff>
    </xdr:from>
    <xdr:to>
      <xdr:col>18</xdr:col>
      <xdr:colOff>567496</xdr:colOff>
      <xdr:row>45</xdr:row>
      <xdr:rowOff>166687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4036176-0FA4-4D8A-93C8-853B2C6B4F24}"/>
            </a:ext>
          </a:extLst>
        </xdr:cNvPr>
        <xdr:cNvSpPr/>
      </xdr:nvSpPr>
      <xdr:spPr>
        <a:xfrm>
          <a:off x="9530521" y="5119688"/>
          <a:ext cx="2609850" cy="3262312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Monitor:</a:t>
          </a:r>
          <a:r>
            <a:rPr lang="en-US" sz="1100" b="1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Switch</a:t>
          </a:r>
          <a:endParaRPr lang="en-DE" sz="1100" b="1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581342</xdr:colOff>
      <xdr:row>28</xdr:row>
      <xdr:rowOff>15874</xdr:rowOff>
    </xdr:from>
    <xdr:to>
      <xdr:col>14</xdr:col>
      <xdr:colOff>139382</xdr:colOff>
      <xdr:row>45</xdr:row>
      <xdr:rowOff>174624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B304596-8811-4AD5-8EEA-ED08624C7015}"/>
            </a:ext>
          </a:extLst>
        </xdr:cNvPr>
        <xdr:cNvSpPr/>
      </xdr:nvSpPr>
      <xdr:spPr>
        <a:xfrm>
          <a:off x="6367780" y="5127624"/>
          <a:ext cx="2772727" cy="3262313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Restructure:</a:t>
          </a:r>
          <a:r>
            <a:rPr lang="en-US" sz="1100" b="1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Router</a:t>
          </a:r>
          <a:endParaRPr lang="en-DE"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182244</xdr:colOff>
      <xdr:row>27</xdr:row>
      <xdr:rowOff>179387</xdr:rowOff>
    </xdr:from>
    <xdr:to>
      <xdr:col>0</xdr:col>
      <xdr:colOff>540384</xdr:colOff>
      <xdr:row>29</xdr:row>
      <xdr:rowOff>164147</xdr:rowOff>
    </xdr:to>
    <xdr:pic>
      <xdr:nvPicPr>
        <xdr:cNvPr id="18" name="Graphic 17" descr="Star with solid fill">
          <a:extLst>
            <a:ext uri="{FF2B5EF4-FFF2-40B4-BE49-F238E27FC236}">
              <a16:creationId xmlns:a16="http://schemas.microsoft.com/office/drawing/2014/main" id="{79C22B05-6ABA-49DD-349B-50D2270EC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82244" y="5108575"/>
          <a:ext cx="358140" cy="349885"/>
        </a:xfrm>
        <a:prstGeom prst="rect">
          <a:avLst/>
        </a:prstGeom>
      </xdr:spPr>
    </xdr:pic>
    <xdr:clientData/>
  </xdr:twoCellAnchor>
  <xdr:twoCellAnchor>
    <xdr:from>
      <xdr:col>0</xdr:col>
      <xdr:colOff>215265</xdr:colOff>
      <xdr:row>31</xdr:row>
      <xdr:rowOff>62547</xdr:rowOff>
    </xdr:from>
    <xdr:to>
      <xdr:col>4</xdr:col>
      <xdr:colOff>269875</xdr:colOff>
      <xdr:row>45</xdr:row>
      <xdr:rowOff>95250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2CEAD4A-362D-5EE2-4352-7263BD02EDD8}"/>
            </a:ext>
          </a:extLst>
        </xdr:cNvPr>
        <xdr:cNvSpPr txBox="1"/>
      </xdr:nvSpPr>
      <xdr:spPr>
        <a:xfrm>
          <a:off x="215265" y="5721985"/>
          <a:ext cx="2626360" cy="25885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50">
              <a:latin typeface="Arial" panose="020B0604020202020204" pitchFamily="34" charset="0"/>
              <a:cs typeface="Arial" panose="020B0604020202020204" pitchFamily="34" charset="0"/>
            </a:rPr>
            <a:t>Highest</a:t>
          </a:r>
          <a:r>
            <a:rPr lang="en-US" sz="1250" baseline="0">
              <a:latin typeface="Arial" panose="020B0604020202020204" pitchFamily="34" charset="0"/>
              <a:cs typeface="Arial" panose="020B0604020202020204" pitchFamily="34" charset="0"/>
            </a:rPr>
            <a:t> profitiability but lowest revenue contribution.</a:t>
          </a:r>
        </a:p>
        <a:p>
          <a:endParaRPr lang="en-US" sz="125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50" baseline="0">
              <a:latin typeface="Arial" panose="020B0604020202020204" pitchFamily="34" charset="0"/>
              <a:cs typeface="Arial" panose="020B0604020202020204" pitchFamily="34" charset="0"/>
            </a:rPr>
            <a:t>Profit Margin: 44% (Highest)</a:t>
          </a:r>
        </a:p>
        <a:p>
          <a:r>
            <a:rPr lang="en-US" sz="1250" baseline="0">
              <a:latin typeface="Arial" panose="020B0604020202020204" pitchFamily="34" charset="0"/>
              <a:cs typeface="Arial" panose="020B0604020202020204" pitchFamily="34" charset="0"/>
            </a:rPr>
            <a:t>Revenue Share: 8% ( Lowest)</a:t>
          </a:r>
        </a:p>
        <a:p>
          <a:endParaRPr lang="en-US" sz="125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25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50" u="sng" baseline="0">
              <a:latin typeface="Arial" panose="020B0604020202020204" pitchFamily="34" charset="0"/>
              <a:cs typeface="Arial" panose="020B0604020202020204" pitchFamily="34" charset="0"/>
            </a:rPr>
            <a:t>Recommendation</a:t>
          </a:r>
        </a:p>
        <a:p>
          <a:r>
            <a:rPr lang="en-US" sz="1250" u="none" baseline="0">
              <a:latin typeface="Arial" panose="020B0604020202020204" pitchFamily="34" charset="0"/>
              <a:cs typeface="Arial" panose="020B0604020202020204" pitchFamily="34" charset="0"/>
            </a:rPr>
            <a:t>Increase investment by expanding the product portfolio and sales efforts to grow revenue while maintaining its high profitiability.</a:t>
          </a:r>
          <a:b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</a:br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144144</xdr:colOff>
      <xdr:row>27</xdr:row>
      <xdr:rowOff>109855</xdr:rowOff>
    </xdr:from>
    <xdr:to>
      <xdr:col>6</xdr:col>
      <xdr:colOff>44065</xdr:colOff>
      <xdr:row>30</xdr:row>
      <xdr:rowOff>101215</xdr:rowOff>
    </xdr:to>
    <xdr:pic>
      <xdr:nvPicPr>
        <xdr:cNvPr id="21" name="Graphic 20" descr="Caret Up with solid fill">
          <a:extLst>
            <a:ext uri="{FF2B5EF4-FFF2-40B4-BE49-F238E27FC236}">
              <a16:creationId xmlns:a16="http://schemas.microsoft.com/office/drawing/2014/main" id="{4A228453-6343-7F81-6709-4E5A33BBB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358832" y="5039043"/>
          <a:ext cx="542858" cy="539047"/>
        </a:xfrm>
        <a:prstGeom prst="rect">
          <a:avLst/>
        </a:prstGeom>
      </xdr:spPr>
    </xdr:pic>
    <xdr:clientData/>
  </xdr:twoCellAnchor>
  <xdr:twoCellAnchor>
    <xdr:from>
      <xdr:col>5</xdr:col>
      <xdr:colOff>141287</xdr:colOff>
      <xdr:row>31</xdr:row>
      <xdr:rowOff>70168</xdr:rowOff>
    </xdr:from>
    <xdr:to>
      <xdr:col>9</xdr:col>
      <xdr:colOff>77469</xdr:colOff>
      <xdr:row>45</xdr:row>
      <xdr:rowOff>95250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F2CC45B-5768-8B51-723E-CF685EC44E21}"/>
            </a:ext>
          </a:extLst>
        </xdr:cNvPr>
        <xdr:cNvSpPr txBox="1"/>
      </xdr:nvSpPr>
      <xdr:spPr>
        <a:xfrm>
          <a:off x="3355975" y="5729606"/>
          <a:ext cx="2507932" cy="25809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50">
              <a:latin typeface="Arial" panose="020B0604020202020204" pitchFamily="34" charset="0"/>
              <a:cs typeface="Arial" panose="020B0604020202020204" pitchFamily="34" charset="0"/>
            </a:rPr>
            <a:t>Strong</a:t>
          </a:r>
          <a:r>
            <a:rPr lang="en-US" sz="1250" baseline="0">
              <a:latin typeface="Arial" panose="020B0604020202020204" pitchFamily="34" charset="0"/>
              <a:cs typeface="Arial" panose="020B0604020202020204" pitchFamily="34" charset="0"/>
            </a:rPr>
            <a:t> overall performance with improvement potential.</a:t>
          </a:r>
          <a:br>
            <a:rPr lang="en-US" sz="1250" baseline="0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n-US" sz="125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250" baseline="0">
              <a:latin typeface="Arial" panose="020B0604020202020204" pitchFamily="34" charset="0"/>
              <a:cs typeface="Arial" panose="020B0604020202020204" pitchFamily="34" charset="0"/>
            </a:rPr>
            <a:t>22 underperforming products reduce portfolio profitiability.</a:t>
          </a:r>
        </a:p>
        <a:p>
          <a:endParaRPr lang="en-US" sz="125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25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50" u="sng">
              <a:latin typeface="Arial" panose="020B0604020202020204" pitchFamily="34" charset="0"/>
              <a:cs typeface="Arial" panose="020B0604020202020204" pitchFamily="34" charset="0"/>
            </a:rPr>
            <a:t>Recommendation</a:t>
          </a:r>
        </a:p>
        <a:p>
          <a:r>
            <a:rPr lang="en-US" sz="1250" u="none">
              <a:latin typeface="Arial" panose="020B0604020202020204" pitchFamily="34" charset="0"/>
              <a:cs typeface="Arial" panose="020B0604020202020204" pitchFamily="34" charset="0"/>
            </a:rPr>
            <a:t>Optimize low</a:t>
          </a:r>
          <a:r>
            <a:rPr lang="en-US" sz="1250" u="none" baseline="0">
              <a:latin typeface="Arial" panose="020B0604020202020204" pitchFamily="34" charset="0"/>
              <a:cs typeface="Arial" panose="020B0604020202020204" pitchFamily="34" charset="0"/>
            </a:rPr>
            <a:t> margin products while continuing investment in high-performing products</a:t>
          </a:r>
          <a:r>
            <a:rPr lang="en-US" sz="1200" u="none" baseline="0">
              <a:latin typeface="Arial" panose="020B0604020202020204" pitchFamily="34" charset="0"/>
              <a:cs typeface="Arial" panose="020B0604020202020204" pitchFamily="34" charset="0"/>
            </a:rPr>
            <a:t>.</a:t>
          </a:r>
          <a:endParaRPr lang="en-DE" sz="1200" u="none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629603</xdr:colOff>
      <xdr:row>27</xdr:row>
      <xdr:rowOff>93981</xdr:rowOff>
    </xdr:from>
    <xdr:to>
      <xdr:col>10</xdr:col>
      <xdr:colOff>529523</xdr:colOff>
      <xdr:row>30</xdr:row>
      <xdr:rowOff>85341</xdr:rowOff>
    </xdr:to>
    <xdr:pic>
      <xdr:nvPicPr>
        <xdr:cNvPr id="24" name="Graphic 23" descr="Caret Down with solid fill">
          <a:extLst>
            <a:ext uri="{FF2B5EF4-FFF2-40B4-BE49-F238E27FC236}">
              <a16:creationId xmlns:a16="http://schemas.microsoft.com/office/drawing/2014/main" id="{E0BB9604-6FEA-2D6F-BDB0-16FB2BE52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6416041" y="5023169"/>
          <a:ext cx="542857" cy="539047"/>
        </a:xfrm>
        <a:prstGeom prst="rect">
          <a:avLst/>
        </a:prstGeom>
      </xdr:spPr>
    </xdr:pic>
    <xdr:clientData/>
  </xdr:twoCellAnchor>
  <xdr:twoCellAnchor>
    <xdr:from>
      <xdr:col>10</xdr:col>
      <xdr:colOff>6351</xdr:colOff>
      <xdr:row>31</xdr:row>
      <xdr:rowOff>95250</xdr:rowOff>
    </xdr:from>
    <xdr:to>
      <xdr:col>14</xdr:col>
      <xdr:colOff>47308</xdr:colOff>
      <xdr:row>45</xdr:row>
      <xdr:rowOff>142875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F896829-E056-8062-688B-F6EC88F5128E}"/>
            </a:ext>
          </a:extLst>
        </xdr:cNvPr>
        <xdr:cNvSpPr txBox="1"/>
      </xdr:nvSpPr>
      <xdr:spPr>
        <a:xfrm>
          <a:off x="6435726" y="5754688"/>
          <a:ext cx="2612707" cy="2603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50">
              <a:latin typeface="Arial" panose="020B0604020202020204" pitchFamily="34" charset="0"/>
              <a:cs typeface="Arial" panose="020B0604020202020204" pitchFamily="34" charset="0"/>
            </a:rPr>
            <a:t>Largest</a:t>
          </a:r>
          <a:r>
            <a:rPr lang="en-US" sz="1250" baseline="0">
              <a:latin typeface="Arial" panose="020B0604020202020204" pitchFamily="34" charset="0"/>
              <a:cs typeface="Arial" panose="020B0604020202020204" pitchFamily="34" charset="0"/>
            </a:rPr>
            <a:t> profitiability issue despite strong sales.</a:t>
          </a:r>
        </a:p>
        <a:p>
          <a:endParaRPr lang="en-US" sz="125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50" baseline="0">
              <a:latin typeface="Arial" panose="020B0604020202020204" pitchFamily="34" charset="0"/>
              <a:cs typeface="Arial" panose="020B0604020202020204" pitchFamily="34" charset="0"/>
            </a:rPr>
            <a:t>Revenue share: 25%</a:t>
          </a:r>
        </a:p>
        <a:p>
          <a:r>
            <a:rPr lang="en-US" sz="1250" baseline="0">
              <a:latin typeface="Arial" panose="020B0604020202020204" pitchFamily="34" charset="0"/>
              <a:cs typeface="Arial" panose="020B0604020202020204" pitchFamily="34" charset="0"/>
            </a:rPr>
            <a:t>Profit Margin: 22%</a:t>
          </a:r>
        </a:p>
        <a:p>
          <a:r>
            <a:rPr lang="en-US" sz="1250" baseline="0">
              <a:latin typeface="Arial" panose="020B0604020202020204" pitchFamily="34" charset="0"/>
              <a:cs typeface="Arial" panose="020B0604020202020204" pitchFamily="34" charset="0"/>
            </a:rPr>
            <a:t>185 products generate below average margin</a:t>
          </a:r>
        </a:p>
        <a:p>
          <a:r>
            <a:rPr lang="en-US" sz="1250" u="sng" baseline="0">
              <a:latin typeface="Arial" panose="020B0604020202020204" pitchFamily="34" charset="0"/>
              <a:cs typeface="Arial" panose="020B0604020202020204" pitchFamily="34" charset="0"/>
            </a:rPr>
            <a:t>Recommendation</a:t>
          </a:r>
        </a:p>
        <a:p>
          <a:r>
            <a:rPr lang="en-US" sz="1250" u="none" baseline="0">
              <a:latin typeface="Arial" panose="020B0604020202020204" pitchFamily="34" charset="0"/>
              <a:cs typeface="Arial" panose="020B0604020202020204" pitchFamily="34" charset="0"/>
            </a:rPr>
            <a:t>Review the low-margin products,discontinue or redesign weak performers, and improve pricing to increase overall profitiability.</a:t>
          </a:r>
        </a:p>
      </xdr:txBody>
    </xdr:sp>
    <xdr:clientData/>
  </xdr:twoCellAnchor>
  <xdr:twoCellAnchor editAs="oneCell">
    <xdr:from>
      <xdr:col>14</xdr:col>
      <xdr:colOff>564460</xdr:colOff>
      <xdr:row>28</xdr:row>
      <xdr:rowOff>33339</xdr:rowOff>
    </xdr:from>
    <xdr:to>
      <xdr:col>15</xdr:col>
      <xdr:colOff>392020</xdr:colOff>
      <xdr:row>30</xdr:row>
      <xdr:rowOff>136214</xdr:rowOff>
    </xdr:to>
    <xdr:pic>
      <xdr:nvPicPr>
        <xdr:cNvPr id="27" name="Graphic 26" descr="Clipboard with solid fill">
          <a:extLst>
            <a:ext uri="{FF2B5EF4-FFF2-40B4-BE49-F238E27FC236}">
              <a16:creationId xmlns:a16="http://schemas.microsoft.com/office/drawing/2014/main" id="{CD2D588C-B30F-F8AD-1B76-1CCA9E06B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565585" y="5145089"/>
          <a:ext cx="470498" cy="468000"/>
        </a:xfrm>
        <a:prstGeom prst="rect">
          <a:avLst/>
        </a:prstGeom>
      </xdr:spPr>
    </xdr:pic>
    <xdr:clientData/>
  </xdr:twoCellAnchor>
  <xdr:twoCellAnchor>
    <xdr:from>
      <xdr:col>14</xdr:col>
      <xdr:colOff>603250</xdr:colOff>
      <xdr:row>31</xdr:row>
      <xdr:rowOff>31749</xdr:rowOff>
    </xdr:from>
    <xdr:to>
      <xdr:col>18</xdr:col>
      <xdr:colOff>476250</xdr:colOff>
      <xdr:row>45</xdr:row>
      <xdr:rowOff>119062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45CFDAA-080F-0145-DF5E-8489F73806A5}"/>
            </a:ext>
          </a:extLst>
        </xdr:cNvPr>
        <xdr:cNvSpPr txBox="1"/>
      </xdr:nvSpPr>
      <xdr:spPr>
        <a:xfrm>
          <a:off x="9604375" y="5691187"/>
          <a:ext cx="2444750" cy="26431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50">
              <a:latin typeface="Arial" panose="020B0604020202020204" pitchFamily="34" charset="0"/>
              <a:cs typeface="Arial" panose="020B0604020202020204" pitchFamily="34" charset="0"/>
            </a:rPr>
            <a:t>Largest</a:t>
          </a:r>
          <a:r>
            <a:rPr lang="en-US" sz="1250" baseline="0">
              <a:latin typeface="Arial" panose="020B0604020202020204" pitchFamily="34" charset="0"/>
              <a:cs typeface="Arial" panose="020B0604020202020204" pitchFamily="34" charset="0"/>
            </a:rPr>
            <a:t> revenue contributor with stable profitiability.</a:t>
          </a:r>
        </a:p>
        <a:p>
          <a:endParaRPr lang="en-US" sz="125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50" baseline="0">
              <a:latin typeface="Arial" panose="020B0604020202020204" pitchFamily="34" charset="0"/>
              <a:cs typeface="Arial" panose="020B0604020202020204" pitchFamily="34" charset="0"/>
            </a:rPr>
            <a:t>Highest revenue share :45.82%</a:t>
          </a:r>
        </a:p>
        <a:p>
          <a:r>
            <a:rPr lang="en-US" sz="1250" baseline="0">
              <a:latin typeface="Arial" panose="020B0604020202020204" pitchFamily="34" charset="0"/>
              <a:cs typeface="Arial" panose="020B0604020202020204" pitchFamily="34" charset="0"/>
            </a:rPr>
            <a:t>Largest product portfolio: 368</a:t>
          </a:r>
        </a:p>
        <a:p>
          <a:endParaRPr lang="en-US" sz="125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25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50" u="sng" baseline="0">
              <a:latin typeface="Arial" panose="020B0604020202020204" pitchFamily="34" charset="0"/>
              <a:cs typeface="Arial" panose="020B0604020202020204" pitchFamily="34" charset="0"/>
            </a:rPr>
            <a:t>Recommendation</a:t>
          </a:r>
        </a:p>
        <a:p>
          <a:r>
            <a:rPr lang="en-US" sz="1250" u="none" baseline="0">
              <a:latin typeface="Arial" panose="020B0604020202020204" pitchFamily="34" charset="0"/>
              <a:cs typeface="Arial" panose="020B0604020202020204" pitchFamily="34" charset="0"/>
            </a:rPr>
            <a:t>Maintain the portfolio and monitor margins through regular product performance reviews.</a:t>
          </a:r>
        </a:p>
      </xdr:txBody>
    </xdr:sp>
    <xdr:clientData/>
  </xdr:twoCellAnchor>
  <xdr:twoCellAnchor>
    <xdr:from>
      <xdr:col>7</xdr:col>
      <xdr:colOff>127000</xdr:colOff>
      <xdr:row>25</xdr:row>
      <xdr:rowOff>127001</xdr:rowOff>
    </xdr:from>
    <xdr:to>
      <xdr:col>11</xdr:col>
      <xdr:colOff>635000</xdr:colOff>
      <xdr:row>27</xdr:row>
      <xdr:rowOff>134938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1D6B6F-D948-8E7A-9FCA-0391E93ED451}"/>
            </a:ext>
          </a:extLst>
        </xdr:cNvPr>
        <xdr:cNvSpPr txBox="1"/>
      </xdr:nvSpPr>
      <xdr:spPr>
        <a:xfrm>
          <a:off x="4627563" y="4691064"/>
          <a:ext cx="3079750" cy="3730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Strategic Recommendations</a:t>
          </a:r>
          <a:endParaRPr lang="en-DE" sz="1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09C090-F9E3-4455-B5DC-6453336F9ABD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Product_ID" tableColumnId="1"/>
      <queryTableField id="2" name="Product_Group" tableColumnId="2"/>
      <queryTableField id="3" name="Revenue_EUR_m" tableColumnId="3"/>
      <queryTableField id="4" name="Profit_EUR_m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4679BC-CF17-4B34-B433-CE8004573924}" name="Portfolio_Data_ProductGroups" displayName="Portfolio_Data_ProductGroups" ref="A1:E1001" tableType="queryTable" totalsRowShown="0">
  <autoFilter ref="A1:E1001" xr:uid="{134679BC-CF17-4B34-B433-CE8004573924}"/>
  <tableColumns count="5">
    <tableColumn id="1" xr3:uid="{2CD171FC-0E39-4A49-8F2A-AD9EF4B52E0A}" uniqueName="1" name="Product_ID" queryTableFieldId="1" dataDxfId="2"/>
    <tableColumn id="2" xr3:uid="{4005F413-1A2C-45E7-8D7E-BF65ACE7599A}" uniqueName="2" name="Product_Group" queryTableFieldId="2" dataDxfId="1"/>
    <tableColumn id="3" xr3:uid="{E6AB2E07-8CAC-4EF3-A11F-84DDFF30098E}" uniqueName="3" name="Revenue_EUR_m" queryTableFieldId="3"/>
    <tableColumn id="4" xr3:uid="{9749C447-8BB8-40DF-BBDB-E89C4E43A014}" uniqueName="4" name="Profit_EUR_m" queryTableFieldId="4"/>
    <tableColumn id="5" xr3:uid="{865FB3C6-B40E-4B62-9885-4F5FA86DD9A7}" uniqueName="5" name=" Profit Margin" queryTableFieldId="5" dataDxfId="0" dataCellStyle="Percent">
      <calculatedColumnFormula>Portfolio_Data_ProductGroups[[#This Row],[Profit_EUR_m]]/Portfolio_Data_ProductGroups[[#This Row],[Revenue_EUR_m]]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4B079-291B-4C68-A9D5-352CC7BDE13A}">
  <sheetPr>
    <pageSetUpPr fitToPage="1"/>
  </sheetPr>
  <dimension ref="A1"/>
  <sheetViews>
    <sheetView tabSelected="1" view="pageLayout" topLeftCell="A23" zoomScale="96" zoomScaleNormal="100" zoomScalePageLayoutView="96" workbookViewId="0">
      <selection activeCell="A47" sqref="A47"/>
    </sheetView>
  </sheetViews>
  <sheetFormatPr defaultRowHeight="14.4" x14ac:dyDescent="0.3"/>
  <sheetData/>
  <pageMargins left="0.59055118110236227" right="0.59055118110236227" top="0.59055118110236227" bottom="0.19685039370078741" header="0.31496062992125984" footer="0.11811023622047245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3544-D302-4A19-8A7F-F856EF3694A9}">
  <dimension ref="A1:E1001"/>
  <sheetViews>
    <sheetView workbookViewId="0">
      <selection activeCell="B1" sqref="B1:B1048576"/>
    </sheetView>
  </sheetViews>
  <sheetFormatPr defaultRowHeight="14.4" x14ac:dyDescent="0.3"/>
  <cols>
    <col min="1" max="1" width="12.33203125" bestFit="1" customWidth="1"/>
    <col min="2" max="2" width="29" customWidth="1"/>
    <col min="3" max="3" width="16.88671875" bestFit="1" customWidth="1"/>
    <col min="4" max="4" width="14.33203125" bestFit="1" customWidth="1"/>
    <col min="5" max="5" width="14.109375" style="2" customWidth="1"/>
    <col min="6" max="6" width="12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2" t="s">
        <v>1008</v>
      </c>
    </row>
    <row r="2" spans="1:5" x14ac:dyDescent="0.3">
      <c r="A2" t="s">
        <v>4</v>
      </c>
      <c r="B2" t="s">
        <v>5</v>
      </c>
      <c r="C2">
        <v>16.05</v>
      </c>
      <c r="D2">
        <v>5.18</v>
      </c>
      <c r="E2" s="2">
        <f>Portfolio_Data_ProductGroups[[#This Row],[Profit_EUR_m]]/Portfolio_Data_ProductGroups[[#This Row],[Revenue_EUR_m]]</f>
        <v>0.3227414330218068</v>
      </c>
    </row>
    <row r="3" spans="1:5" x14ac:dyDescent="0.3">
      <c r="A3" t="s">
        <v>6</v>
      </c>
      <c r="B3" t="s">
        <v>7</v>
      </c>
      <c r="C3">
        <v>13.78</v>
      </c>
      <c r="D3">
        <v>4.1399999999999997</v>
      </c>
      <c r="E3" s="2">
        <f>Portfolio_Data_ProductGroups[[#This Row],[Profit_EUR_m]]/Portfolio_Data_ProductGroups[[#This Row],[Revenue_EUR_m]]</f>
        <v>0.30043541364296078</v>
      </c>
    </row>
    <row r="4" spans="1:5" x14ac:dyDescent="0.3">
      <c r="A4" t="s">
        <v>8</v>
      </c>
      <c r="B4" t="s">
        <v>9</v>
      </c>
      <c r="C4">
        <v>14.5</v>
      </c>
      <c r="D4">
        <v>2.94</v>
      </c>
      <c r="E4" s="2">
        <f>Portfolio_Data_ProductGroups[[#This Row],[Profit_EUR_m]]/Portfolio_Data_ProductGroups[[#This Row],[Revenue_EUR_m]]</f>
        <v>0.20275862068965517</v>
      </c>
    </row>
    <row r="5" spans="1:5" x14ac:dyDescent="0.3">
      <c r="A5" t="s">
        <v>10</v>
      </c>
      <c r="B5" t="s">
        <v>9</v>
      </c>
      <c r="C5">
        <v>37.119999999999997</v>
      </c>
      <c r="D5">
        <v>9.5</v>
      </c>
      <c r="E5" s="2">
        <f>Portfolio_Data_ProductGroups[[#This Row],[Profit_EUR_m]]/Portfolio_Data_ProductGroups[[#This Row],[Revenue_EUR_m]]</f>
        <v>0.25592672413793105</v>
      </c>
    </row>
    <row r="6" spans="1:5" x14ac:dyDescent="0.3">
      <c r="A6" t="s">
        <v>11</v>
      </c>
      <c r="B6" t="s">
        <v>9</v>
      </c>
      <c r="C6">
        <v>14.43</v>
      </c>
      <c r="D6">
        <v>2.89</v>
      </c>
      <c r="E6" s="2">
        <f>Portfolio_Data_ProductGroups[[#This Row],[Profit_EUR_m]]/Portfolio_Data_ProductGroups[[#This Row],[Revenue_EUR_m]]</f>
        <v>0.20027720027720028</v>
      </c>
    </row>
    <row r="7" spans="1:5" x14ac:dyDescent="0.3">
      <c r="A7" t="s">
        <v>12</v>
      </c>
      <c r="B7" t="s">
        <v>13</v>
      </c>
      <c r="C7">
        <v>7.8</v>
      </c>
      <c r="D7">
        <v>2.6</v>
      </c>
      <c r="E7" s="2">
        <f>Portfolio_Data_ProductGroups[[#This Row],[Profit_EUR_m]]/Portfolio_Data_ProductGroups[[#This Row],[Revenue_EUR_m]]</f>
        <v>0.33333333333333337</v>
      </c>
    </row>
    <row r="8" spans="1:5" x14ac:dyDescent="0.3">
      <c r="A8" t="s">
        <v>14</v>
      </c>
      <c r="B8" t="s">
        <v>13</v>
      </c>
      <c r="C8">
        <v>9.42</v>
      </c>
      <c r="D8">
        <v>3.99</v>
      </c>
      <c r="E8" s="2">
        <f>Portfolio_Data_ProductGroups[[#This Row],[Profit_EUR_m]]/Portfolio_Data_ProductGroups[[#This Row],[Revenue_EUR_m]]</f>
        <v>0.42356687898089174</v>
      </c>
    </row>
    <row r="9" spans="1:5" x14ac:dyDescent="0.3">
      <c r="A9" t="s">
        <v>15</v>
      </c>
      <c r="B9" t="s">
        <v>13</v>
      </c>
      <c r="C9">
        <v>10.64</v>
      </c>
      <c r="D9">
        <v>3.49</v>
      </c>
      <c r="E9" s="2">
        <f>Portfolio_Data_ProductGroups[[#This Row],[Profit_EUR_m]]/Portfolio_Data_ProductGroups[[#This Row],[Revenue_EUR_m]]</f>
        <v>0.32800751879699247</v>
      </c>
    </row>
    <row r="10" spans="1:5" x14ac:dyDescent="0.3">
      <c r="A10" t="s">
        <v>16</v>
      </c>
      <c r="B10" t="s">
        <v>13</v>
      </c>
      <c r="C10">
        <v>9.42</v>
      </c>
      <c r="D10">
        <v>3.4</v>
      </c>
      <c r="E10" s="2">
        <f>Portfolio_Data_ProductGroups[[#This Row],[Profit_EUR_m]]/Portfolio_Data_ProductGroups[[#This Row],[Revenue_EUR_m]]</f>
        <v>0.36093418259023352</v>
      </c>
    </row>
    <row r="11" spans="1:5" x14ac:dyDescent="0.3">
      <c r="A11" t="s">
        <v>17</v>
      </c>
      <c r="B11" t="s">
        <v>7</v>
      </c>
      <c r="C11">
        <v>10.27</v>
      </c>
      <c r="D11">
        <v>3.92</v>
      </c>
      <c r="E11" s="2">
        <f>Portfolio_Data_ProductGroups[[#This Row],[Profit_EUR_m]]/Portfolio_Data_ProductGroups[[#This Row],[Revenue_EUR_m]]</f>
        <v>0.38169425511197663</v>
      </c>
    </row>
    <row r="12" spans="1:5" x14ac:dyDescent="0.3">
      <c r="A12" t="s">
        <v>18</v>
      </c>
      <c r="B12" t="s">
        <v>5</v>
      </c>
      <c r="C12">
        <v>3.93</v>
      </c>
      <c r="D12">
        <v>0.95</v>
      </c>
      <c r="E12" s="2">
        <f>Portfolio_Data_ProductGroups[[#This Row],[Profit_EUR_m]]/Portfolio_Data_ProductGroups[[#This Row],[Revenue_EUR_m]]</f>
        <v>0.2417302798982188</v>
      </c>
    </row>
    <row r="13" spans="1:5" x14ac:dyDescent="0.3">
      <c r="A13" t="s">
        <v>19</v>
      </c>
      <c r="B13" t="s">
        <v>9</v>
      </c>
      <c r="C13">
        <v>38.07</v>
      </c>
      <c r="D13">
        <v>7.42</v>
      </c>
      <c r="E13" s="2">
        <f>Portfolio_Data_ProductGroups[[#This Row],[Profit_EUR_m]]/Portfolio_Data_ProductGroups[[#This Row],[Revenue_EUR_m]]</f>
        <v>0.19490412398213816</v>
      </c>
    </row>
    <row r="14" spans="1:5" x14ac:dyDescent="0.3">
      <c r="A14" t="s">
        <v>20</v>
      </c>
      <c r="B14" t="s">
        <v>7</v>
      </c>
      <c r="C14">
        <v>21.93</v>
      </c>
      <c r="D14">
        <v>4.18</v>
      </c>
      <c r="E14" s="2">
        <f>Portfolio_Data_ProductGroups[[#This Row],[Profit_EUR_m]]/Portfolio_Data_ProductGroups[[#This Row],[Revenue_EUR_m]]</f>
        <v>0.19060647514819881</v>
      </c>
    </row>
    <row r="15" spans="1:5" x14ac:dyDescent="0.3">
      <c r="A15" t="s">
        <v>21</v>
      </c>
      <c r="B15" t="s">
        <v>5</v>
      </c>
      <c r="C15">
        <v>4.7300000000000004</v>
      </c>
      <c r="D15">
        <v>1.03</v>
      </c>
      <c r="E15" s="2">
        <f>Portfolio_Data_ProductGroups[[#This Row],[Profit_EUR_m]]/Portfolio_Data_ProductGroups[[#This Row],[Revenue_EUR_m]]</f>
        <v>0.21775898520084566</v>
      </c>
    </row>
    <row r="16" spans="1:5" x14ac:dyDescent="0.3">
      <c r="A16" t="s">
        <v>22</v>
      </c>
      <c r="B16" t="s">
        <v>7</v>
      </c>
      <c r="C16">
        <v>8.32</v>
      </c>
      <c r="D16">
        <v>1.42</v>
      </c>
      <c r="E16" s="2">
        <f>Portfolio_Data_ProductGroups[[#This Row],[Profit_EUR_m]]/Portfolio_Data_ProductGroups[[#This Row],[Revenue_EUR_m]]</f>
        <v>0.1706730769230769</v>
      </c>
    </row>
    <row r="17" spans="1:5" x14ac:dyDescent="0.3">
      <c r="A17" t="s">
        <v>23</v>
      </c>
      <c r="B17" t="s">
        <v>7</v>
      </c>
      <c r="C17">
        <v>24.25</v>
      </c>
      <c r="D17">
        <v>6.57</v>
      </c>
      <c r="E17" s="2">
        <f>Portfolio_Data_ProductGroups[[#This Row],[Profit_EUR_m]]/Portfolio_Data_ProductGroups[[#This Row],[Revenue_EUR_m]]</f>
        <v>0.27092783505154638</v>
      </c>
    </row>
    <row r="18" spans="1:5" x14ac:dyDescent="0.3">
      <c r="A18" t="s">
        <v>24</v>
      </c>
      <c r="B18" t="s">
        <v>5</v>
      </c>
      <c r="C18">
        <v>14.1</v>
      </c>
      <c r="D18">
        <v>4.63</v>
      </c>
      <c r="E18" s="2">
        <f>Portfolio_Data_ProductGroups[[#This Row],[Profit_EUR_m]]/Portfolio_Data_ProductGroups[[#This Row],[Revenue_EUR_m]]</f>
        <v>0.32836879432624111</v>
      </c>
    </row>
    <row r="19" spans="1:5" x14ac:dyDescent="0.3">
      <c r="A19" t="s">
        <v>25</v>
      </c>
      <c r="B19" t="s">
        <v>9</v>
      </c>
      <c r="C19">
        <v>22.34</v>
      </c>
      <c r="D19">
        <v>7.93</v>
      </c>
      <c r="E19" s="2">
        <f>Portfolio_Data_ProductGroups[[#This Row],[Profit_EUR_m]]/Portfolio_Data_ProductGroups[[#This Row],[Revenue_EUR_m]]</f>
        <v>0.35496866606982991</v>
      </c>
    </row>
    <row r="20" spans="1:5" x14ac:dyDescent="0.3">
      <c r="A20" t="s">
        <v>26</v>
      </c>
      <c r="B20" t="s">
        <v>9</v>
      </c>
      <c r="C20">
        <v>19.53</v>
      </c>
      <c r="D20">
        <v>6.46</v>
      </c>
      <c r="E20" s="2">
        <f>Portfolio_Data_ProductGroups[[#This Row],[Profit_EUR_m]]/Portfolio_Data_ProductGroups[[#This Row],[Revenue_EUR_m]]</f>
        <v>0.33077316948284691</v>
      </c>
    </row>
    <row r="21" spans="1:5" x14ac:dyDescent="0.3">
      <c r="A21" t="s">
        <v>27</v>
      </c>
      <c r="B21" t="s">
        <v>7</v>
      </c>
      <c r="C21">
        <v>14.45</v>
      </c>
      <c r="D21">
        <v>4.2300000000000004</v>
      </c>
      <c r="E21" s="2">
        <f>Portfolio_Data_ProductGroups[[#This Row],[Profit_EUR_m]]/Portfolio_Data_ProductGroups[[#This Row],[Revenue_EUR_m]]</f>
        <v>0.29273356401384087</v>
      </c>
    </row>
    <row r="22" spans="1:5" x14ac:dyDescent="0.3">
      <c r="A22" t="s">
        <v>28</v>
      </c>
      <c r="B22" t="s">
        <v>5</v>
      </c>
      <c r="C22">
        <v>35.33</v>
      </c>
      <c r="D22">
        <v>5.89</v>
      </c>
      <c r="E22" s="2">
        <f>Portfolio_Data_ProductGroups[[#This Row],[Profit_EUR_m]]/Portfolio_Data_ProductGroups[[#This Row],[Revenue_EUR_m]]</f>
        <v>0.16671384092838948</v>
      </c>
    </row>
    <row r="23" spans="1:5" x14ac:dyDescent="0.3">
      <c r="A23" t="s">
        <v>29</v>
      </c>
      <c r="B23" t="s">
        <v>5</v>
      </c>
      <c r="C23">
        <v>18.8</v>
      </c>
      <c r="D23">
        <v>5.82</v>
      </c>
      <c r="E23" s="2">
        <f>Portfolio_Data_ProductGroups[[#This Row],[Profit_EUR_m]]/Portfolio_Data_ProductGroups[[#This Row],[Revenue_EUR_m]]</f>
        <v>0.30957446808510641</v>
      </c>
    </row>
    <row r="24" spans="1:5" x14ac:dyDescent="0.3">
      <c r="A24" t="s">
        <v>30</v>
      </c>
      <c r="B24" t="s">
        <v>7</v>
      </c>
      <c r="C24">
        <v>10.199999999999999</v>
      </c>
      <c r="D24">
        <v>2.4700000000000002</v>
      </c>
      <c r="E24" s="2">
        <f>Portfolio_Data_ProductGroups[[#This Row],[Profit_EUR_m]]/Portfolio_Data_ProductGroups[[#This Row],[Revenue_EUR_m]]</f>
        <v>0.24215686274509807</v>
      </c>
    </row>
    <row r="25" spans="1:5" x14ac:dyDescent="0.3">
      <c r="A25" t="s">
        <v>31</v>
      </c>
      <c r="B25" t="s">
        <v>9</v>
      </c>
      <c r="C25">
        <v>15.19</v>
      </c>
      <c r="D25">
        <v>4.8899999999999997</v>
      </c>
      <c r="E25" s="2">
        <f>Portfolio_Data_ProductGroups[[#This Row],[Profit_EUR_m]]/Portfolio_Data_ProductGroups[[#This Row],[Revenue_EUR_m]]</f>
        <v>0.32192231731402238</v>
      </c>
    </row>
    <row r="26" spans="1:5" x14ac:dyDescent="0.3">
      <c r="A26" t="s">
        <v>32</v>
      </c>
      <c r="B26" t="s">
        <v>5</v>
      </c>
      <c r="C26">
        <v>8.1</v>
      </c>
      <c r="D26">
        <v>1.56</v>
      </c>
      <c r="E26" s="2">
        <f>Portfolio_Data_ProductGroups[[#This Row],[Profit_EUR_m]]/Portfolio_Data_ProductGroups[[#This Row],[Revenue_EUR_m]]</f>
        <v>0.19259259259259262</v>
      </c>
    </row>
    <row r="27" spans="1:5" x14ac:dyDescent="0.3">
      <c r="A27" t="s">
        <v>33</v>
      </c>
      <c r="B27" t="s">
        <v>5</v>
      </c>
      <c r="C27">
        <v>16.28</v>
      </c>
      <c r="D27">
        <v>3.11</v>
      </c>
      <c r="E27" s="2">
        <f>Portfolio_Data_ProductGroups[[#This Row],[Profit_EUR_m]]/Portfolio_Data_ProductGroups[[#This Row],[Revenue_EUR_m]]</f>
        <v>0.19103194103194102</v>
      </c>
    </row>
    <row r="28" spans="1:5" x14ac:dyDescent="0.3">
      <c r="A28" t="s">
        <v>34</v>
      </c>
      <c r="B28" t="s">
        <v>9</v>
      </c>
      <c r="C28">
        <v>28.24</v>
      </c>
      <c r="D28">
        <v>7.28</v>
      </c>
      <c r="E28" s="2">
        <f>Portfolio_Data_ProductGroups[[#This Row],[Profit_EUR_m]]/Portfolio_Data_ProductGroups[[#This Row],[Revenue_EUR_m]]</f>
        <v>0.25779036827195467</v>
      </c>
    </row>
    <row r="29" spans="1:5" x14ac:dyDescent="0.3">
      <c r="A29" t="s">
        <v>35</v>
      </c>
      <c r="B29" t="s">
        <v>9</v>
      </c>
      <c r="C29">
        <v>54.74</v>
      </c>
      <c r="D29">
        <v>11.34</v>
      </c>
      <c r="E29" s="2">
        <f>Portfolio_Data_ProductGroups[[#This Row],[Profit_EUR_m]]/Portfolio_Data_ProductGroups[[#This Row],[Revenue_EUR_m]]</f>
        <v>0.20716112531969308</v>
      </c>
    </row>
    <row r="30" spans="1:5" x14ac:dyDescent="0.3">
      <c r="A30" t="s">
        <v>36</v>
      </c>
      <c r="B30" t="s">
        <v>13</v>
      </c>
      <c r="C30">
        <v>16.86</v>
      </c>
      <c r="D30">
        <v>8.41</v>
      </c>
      <c r="E30" s="2">
        <f>Portfolio_Data_ProductGroups[[#This Row],[Profit_EUR_m]]/Portfolio_Data_ProductGroups[[#This Row],[Revenue_EUR_m]]</f>
        <v>0.49881376037959668</v>
      </c>
    </row>
    <row r="31" spans="1:5" x14ac:dyDescent="0.3">
      <c r="A31" t="s">
        <v>37</v>
      </c>
      <c r="B31" t="s">
        <v>13</v>
      </c>
      <c r="C31">
        <v>8.0399999999999991</v>
      </c>
      <c r="D31">
        <v>2.4700000000000002</v>
      </c>
      <c r="E31" s="2">
        <f>Portfolio_Data_ProductGroups[[#This Row],[Profit_EUR_m]]/Portfolio_Data_ProductGroups[[#This Row],[Revenue_EUR_m]]</f>
        <v>0.30721393034825878</v>
      </c>
    </row>
    <row r="32" spans="1:5" x14ac:dyDescent="0.3">
      <c r="A32" t="s">
        <v>38</v>
      </c>
      <c r="B32" t="s">
        <v>7</v>
      </c>
      <c r="C32">
        <v>8.0299999999999994</v>
      </c>
      <c r="D32">
        <v>2.4300000000000002</v>
      </c>
      <c r="E32" s="2">
        <f>Portfolio_Data_ProductGroups[[#This Row],[Profit_EUR_m]]/Portfolio_Data_ProductGroups[[#This Row],[Revenue_EUR_m]]</f>
        <v>0.30261519302615197</v>
      </c>
    </row>
    <row r="33" spans="1:5" x14ac:dyDescent="0.3">
      <c r="A33" t="s">
        <v>39</v>
      </c>
      <c r="B33" t="s">
        <v>7</v>
      </c>
      <c r="C33">
        <v>11.74</v>
      </c>
      <c r="D33">
        <v>2.94</v>
      </c>
      <c r="E33" s="2">
        <f>Portfolio_Data_ProductGroups[[#This Row],[Profit_EUR_m]]/Portfolio_Data_ProductGroups[[#This Row],[Revenue_EUR_m]]</f>
        <v>0.25042589437819418</v>
      </c>
    </row>
    <row r="34" spans="1:5" x14ac:dyDescent="0.3">
      <c r="A34" t="s">
        <v>40</v>
      </c>
      <c r="B34" t="s">
        <v>7</v>
      </c>
      <c r="C34">
        <v>51.51</v>
      </c>
      <c r="D34">
        <v>10.85</v>
      </c>
      <c r="E34" s="2">
        <f>Portfolio_Data_ProductGroups[[#This Row],[Profit_EUR_m]]/Portfolio_Data_ProductGroups[[#This Row],[Revenue_EUR_m]]</f>
        <v>0.21063871092991651</v>
      </c>
    </row>
    <row r="35" spans="1:5" x14ac:dyDescent="0.3">
      <c r="A35" t="s">
        <v>41</v>
      </c>
      <c r="B35" t="s">
        <v>7</v>
      </c>
      <c r="C35">
        <v>19.77</v>
      </c>
      <c r="D35">
        <v>6.2</v>
      </c>
      <c r="E35" s="2">
        <f>Portfolio_Data_ProductGroups[[#This Row],[Profit_EUR_m]]/Portfolio_Data_ProductGroups[[#This Row],[Revenue_EUR_m]]</f>
        <v>0.31360647445624684</v>
      </c>
    </row>
    <row r="36" spans="1:5" x14ac:dyDescent="0.3">
      <c r="A36" t="s">
        <v>42</v>
      </c>
      <c r="B36" t="s">
        <v>5</v>
      </c>
      <c r="C36">
        <v>9.26</v>
      </c>
      <c r="D36">
        <v>1.21</v>
      </c>
      <c r="E36" s="2">
        <f>Portfolio_Data_ProductGroups[[#This Row],[Profit_EUR_m]]/Portfolio_Data_ProductGroups[[#This Row],[Revenue_EUR_m]]</f>
        <v>0.13066954643628509</v>
      </c>
    </row>
    <row r="37" spans="1:5" x14ac:dyDescent="0.3">
      <c r="A37" t="s">
        <v>43</v>
      </c>
      <c r="B37" t="s">
        <v>5</v>
      </c>
      <c r="C37">
        <v>97.71</v>
      </c>
      <c r="D37">
        <v>28.67</v>
      </c>
      <c r="E37" s="2">
        <f>Portfolio_Data_ProductGroups[[#This Row],[Profit_EUR_m]]/Portfolio_Data_ProductGroups[[#This Row],[Revenue_EUR_m]]</f>
        <v>0.29341930201617034</v>
      </c>
    </row>
    <row r="38" spans="1:5" x14ac:dyDescent="0.3">
      <c r="A38" t="s">
        <v>44</v>
      </c>
      <c r="B38" t="s">
        <v>7</v>
      </c>
      <c r="C38">
        <v>21.91</v>
      </c>
      <c r="D38">
        <v>4.84</v>
      </c>
      <c r="E38" s="2">
        <f>Portfolio_Data_ProductGroups[[#This Row],[Profit_EUR_m]]/Portfolio_Data_ProductGroups[[#This Row],[Revenue_EUR_m]]</f>
        <v>0.2209036969420356</v>
      </c>
    </row>
    <row r="39" spans="1:5" x14ac:dyDescent="0.3">
      <c r="A39" t="s">
        <v>45</v>
      </c>
      <c r="B39" t="s">
        <v>5</v>
      </c>
      <c r="C39">
        <v>26.42</v>
      </c>
      <c r="D39">
        <v>4.7</v>
      </c>
      <c r="E39" s="2">
        <f>Portfolio_Data_ProductGroups[[#This Row],[Profit_EUR_m]]/Portfolio_Data_ProductGroups[[#This Row],[Revenue_EUR_m]]</f>
        <v>0.17789553368660105</v>
      </c>
    </row>
    <row r="40" spans="1:5" x14ac:dyDescent="0.3">
      <c r="A40" t="s">
        <v>46</v>
      </c>
      <c r="B40" t="s">
        <v>5</v>
      </c>
      <c r="C40">
        <v>28.13</v>
      </c>
      <c r="D40">
        <v>7.57</v>
      </c>
      <c r="E40" s="2">
        <f>Portfolio_Data_ProductGroups[[#This Row],[Profit_EUR_m]]/Portfolio_Data_ProductGroups[[#This Row],[Revenue_EUR_m]]</f>
        <v>0.26910771418414509</v>
      </c>
    </row>
    <row r="41" spans="1:5" x14ac:dyDescent="0.3">
      <c r="A41" t="s">
        <v>47</v>
      </c>
      <c r="B41" t="s">
        <v>5</v>
      </c>
      <c r="C41">
        <v>54.53</v>
      </c>
      <c r="D41">
        <v>14.06</v>
      </c>
      <c r="E41" s="2">
        <f>Portfolio_Data_ProductGroups[[#This Row],[Profit_EUR_m]]/Portfolio_Data_ProductGroups[[#This Row],[Revenue_EUR_m]]</f>
        <v>0.25783972125435539</v>
      </c>
    </row>
    <row r="42" spans="1:5" x14ac:dyDescent="0.3">
      <c r="A42" t="s">
        <v>48</v>
      </c>
      <c r="B42" t="s">
        <v>13</v>
      </c>
      <c r="C42">
        <v>5.66</v>
      </c>
      <c r="D42">
        <v>2.31</v>
      </c>
      <c r="E42" s="2">
        <f>Portfolio_Data_ProductGroups[[#This Row],[Profit_EUR_m]]/Portfolio_Data_ProductGroups[[#This Row],[Revenue_EUR_m]]</f>
        <v>0.40812720848056538</v>
      </c>
    </row>
    <row r="43" spans="1:5" x14ac:dyDescent="0.3">
      <c r="A43" t="s">
        <v>49</v>
      </c>
      <c r="B43" t="s">
        <v>13</v>
      </c>
      <c r="C43">
        <v>25.3</v>
      </c>
      <c r="D43">
        <v>10.46</v>
      </c>
      <c r="E43" s="2">
        <f>Portfolio_Data_ProductGroups[[#This Row],[Profit_EUR_m]]/Portfolio_Data_ProductGroups[[#This Row],[Revenue_EUR_m]]</f>
        <v>0.41343873517786561</v>
      </c>
    </row>
    <row r="44" spans="1:5" x14ac:dyDescent="0.3">
      <c r="A44" t="s">
        <v>50</v>
      </c>
      <c r="B44" t="s">
        <v>7</v>
      </c>
      <c r="C44">
        <v>18.940000000000001</v>
      </c>
      <c r="D44">
        <v>4.37</v>
      </c>
      <c r="E44" s="2">
        <f>Portfolio_Data_ProductGroups[[#This Row],[Profit_EUR_m]]/Portfolio_Data_ProductGroups[[#This Row],[Revenue_EUR_m]]</f>
        <v>0.23072861668426609</v>
      </c>
    </row>
    <row r="45" spans="1:5" x14ac:dyDescent="0.3">
      <c r="A45" t="s">
        <v>51</v>
      </c>
      <c r="B45" t="s">
        <v>7</v>
      </c>
      <c r="C45">
        <v>5.68</v>
      </c>
      <c r="D45">
        <v>1.64</v>
      </c>
      <c r="E45" s="2">
        <f>Portfolio_Data_ProductGroups[[#This Row],[Profit_EUR_m]]/Portfolio_Data_ProductGroups[[#This Row],[Revenue_EUR_m]]</f>
        <v>0.28873239436619719</v>
      </c>
    </row>
    <row r="46" spans="1:5" x14ac:dyDescent="0.3">
      <c r="A46" t="s">
        <v>52</v>
      </c>
      <c r="B46" t="s">
        <v>5</v>
      </c>
      <c r="C46">
        <v>36.79</v>
      </c>
      <c r="D46">
        <v>8.07</v>
      </c>
      <c r="E46" s="2">
        <f>Portfolio_Data_ProductGroups[[#This Row],[Profit_EUR_m]]/Portfolio_Data_ProductGroups[[#This Row],[Revenue_EUR_m]]</f>
        <v>0.2193530850774667</v>
      </c>
    </row>
    <row r="47" spans="1:5" x14ac:dyDescent="0.3">
      <c r="A47" t="s">
        <v>53</v>
      </c>
      <c r="B47" t="s">
        <v>5</v>
      </c>
      <c r="C47">
        <v>20.399999999999999</v>
      </c>
      <c r="D47">
        <v>4.66</v>
      </c>
      <c r="E47" s="2">
        <f>Portfolio_Data_ProductGroups[[#This Row],[Profit_EUR_m]]/Portfolio_Data_ProductGroups[[#This Row],[Revenue_EUR_m]]</f>
        <v>0.22843137254901963</v>
      </c>
    </row>
    <row r="48" spans="1:5" x14ac:dyDescent="0.3">
      <c r="A48" t="s">
        <v>54</v>
      </c>
      <c r="B48" t="s">
        <v>7</v>
      </c>
      <c r="C48">
        <v>6.4</v>
      </c>
      <c r="D48">
        <v>1.72</v>
      </c>
      <c r="E48" s="2">
        <f>Portfolio_Data_ProductGroups[[#This Row],[Profit_EUR_m]]/Portfolio_Data_ProductGroups[[#This Row],[Revenue_EUR_m]]</f>
        <v>0.26874999999999999</v>
      </c>
    </row>
    <row r="49" spans="1:5" x14ac:dyDescent="0.3">
      <c r="A49" t="s">
        <v>55</v>
      </c>
      <c r="B49" t="s">
        <v>5</v>
      </c>
      <c r="C49">
        <v>31.37</v>
      </c>
      <c r="D49">
        <v>8.0500000000000007</v>
      </c>
      <c r="E49" s="2">
        <f>Portfolio_Data_ProductGroups[[#This Row],[Profit_EUR_m]]/Portfolio_Data_ProductGroups[[#This Row],[Revenue_EUR_m]]</f>
        <v>0.25661459993624486</v>
      </c>
    </row>
    <row r="50" spans="1:5" x14ac:dyDescent="0.3">
      <c r="A50" t="s">
        <v>56</v>
      </c>
      <c r="B50" t="s">
        <v>13</v>
      </c>
      <c r="C50">
        <v>22.61</v>
      </c>
      <c r="D50">
        <v>9.75</v>
      </c>
      <c r="E50" s="2">
        <f>Portfolio_Data_ProductGroups[[#This Row],[Profit_EUR_m]]/Portfolio_Data_ProductGroups[[#This Row],[Revenue_EUR_m]]</f>
        <v>0.43122512162759841</v>
      </c>
    </row>
    <row r="51" spans="1:5" x14ac:dyDescent="0.3">
      <c r="A51" t="s">
        <v>57</v>
      </c>
      <c r="B51" t="s">
        <v>13</v>
      </c>
      <c r="C51">
        <v>16.100000000000001</v>
      </c>
      <c r="D51">
        <v>7.61</v>
      </c>
      <c r="E51" s="2">
        <f>Portfolio_Data_ProductGroups[[#This Row],[Profit_EUR_m]]/Portfolio_Data_ProductGroups[[#This Row],[Revenue_EUR_m]]</f>
        <v>0.47267080745341611</v>
      </c>
    </row>
    <row r="52" spans="1:5" x14ac:dyDescent="0.3">
      <c r="A52" t="s">
        <v>58</v>
      </c>
      <c r="B52" t="s">
        <v>5</v>
      </c>
      <c r="C52">
        <v>10.43</v>
      </c>
      <c r="D52">
        <v>2.11</v>
      </c>
      <c r="E52" s="2">
        <f>Portfolio_Data_ProductGroups[[#This Row],[Profit_EUR_m]]/Portfolio_Data_ProductGroups[[#This Row],[Revenue_EUR_m]]</f>
        <v>0.20230105465004794</v>
      </c>
    </row>
    <row r="53" spans="1:5" x14ac:dyDescent="0.3">
      <c r="A53" t="s">
        <v>59</v>
      </c>
      <c r="B53" t="s">
        <v>5</v>
      </c>
      <c r="C53">
        <v>13.95</v>
      </c>
      <c r="D53">
        <v>3.63</v>
      </c>
      <c r="E53" s="2">
        <f>Portfolio_Data_ProductGroups[[#This Row],[Profit_EUR_m]]/Portfolio_Data_ProductGroups[[#This Row],[Revenue_EUR_m]]</f>
        <v>0.26021505376344084</v>
      </c>
    </row>
    <row r="54" spans="1:5" x14ac:dyDescent="0.3">
      <c r="A54" t="s">
        <v>60</v>
      </c>
      <c r="B54" t="s">
        <v>9</v>
      </c>
      <c r="C54">
        <v>6.03</v>
      </c>
      <c r="D54">
        <v>1.21</v>
      </c>
      <c r="E54" s="2">
        <f>Portfolio_Data_ProductGroups[[#This Row],[Profit_EUR_m]]/Portfolio_Data_ProductGroups[[#This Row],[Revenue_EUR_m]]</f>
        <v>0.20066334991708124</v>
      </c>
    </row>
    <row r="55" spans="1:5" x14ac:dyDescent="0.3">
      <c r="A55" t="s">
        <v>61</v>
      </c>
      <c r="B55" t="s">
        <v>9</v>
      </c>
      <c r="C55">
        <v>3.45</v>
      </c>
      <c r="D55">
        <v>0.84</v>
      </c>
      <c r="E55" s="2">
        <f>Portfolio_Data_ProductGroups[[#This Row],[Profit_EUR_m]]/Portfolio_Data_ProductGroups[[#This Row],[Revenue_EUR_m]]</f>
        <v>0.2434782608695652</v>
      </c>
    </row>
    <row r="56" spans="1:5" x14ac:dyDescent="0.3">
      <c r="A56" t="s">
        <v>62</v>
      </c>
      <c r="B56" t="s">
        <v>7</v>
      </c>
      <c r="C56">
        <v>10.199999999999999</v>
      </c>
      <c r="D56">
        <v>2.63</v>
      </c>
      <c r="E56" s="2">
        <f>Portfolio_Data_ProductGroups[[#This Row],[Profit_EUR_m]]/Portfolio_Data_ProductGroups[[#This Row],[Revenue_EUR_m]]</f>
        <v>0.25784313725490199</v>
      </c>
    </row>
    <row r="57" spans="1:5" x14ac:dyDescent="0.3">
      <c r="A57" t="s">
        <v>63</v>
      </c>
      <c r="B57" t="s">
        <v>9</v>
      </c>
      <c r="C57">
        <v>6.08</v>
      </c>
      <c r="D57">
        <v>1.1499999999999999</v>
      </c>
      <c r="E57" s="2">
        <f>Portfolio_Data_ProductGroups[[#This Row],[Profit_EUR_m]]/Portfolio_Data_ProductGroups[[#This Row],[Revenue_EUR_m]]</f>
        <v>0.18914473684210525</v>
      </c>
    </row>
    <row r="58" spans="1:5" x14ac:dyDescent="0.3">
      <c r="A58" t="s">
        <v>64</v>
      </c>
      <c r="B58" t="s">
        <v>13</v>
      </c>
      <c r="C58">
        <v>4.1500000000000004</v>
      </c>
      <c r="D58">
        <v>1.66</v>
      </c>
      <c r="E58" s="2">
        <f>Portfolio_Data_ProductGroups[[#This Row],[Profit_EUR_m]]/Portfolio_Data_ProductGroups[[#This Row],[Revenue_EUR_m]]</f>
        <v>0.39999999999999997</v>
      </c>
    </row>
    <row r="59" spans="1:5" x14ac:dyDescent="0.3">
      <c r="A59" t="s">
        <v>65</v>
      </c>
      <c r="B59" t="s">
        <v>9</v>
      </c>
      <c r="C59">
        <v>16.64</v>
      </c>
      <c r="D59">
        <v>1.87</v>
      </c>
      <c r="E59" s="2">
        <f>Portfolio_Data_ProductGroups[[#This Row],[Profit_EUR_m]]/Portfolio_Data_ProductGroups[[#This Row],[Revenue_EUR_m]]</f>
        <v>0.1123798076923077</v>
      </c>
    </row>
    <row r="60" spans="1:5" x14ac:dyDescent="0.3">
      <c r="A60" t="s">
        <v>66</v>
      </c>
      <c r="B60" t="s">
        <v>13</v>
      </c>
      <c r="C60">
        <v>22.83</v>
      </c>
      <c r="D60">
        <v>8.06</v>
      </c>
      <c r="E60" s="2">
        <f>Portfolio_Data_ProductGroups[[#This Row],[Profit_EUR_m]]/Portfolio_Data_ProductGroups[[#This Row],[Revenue_EUR_m]]</f>
        <v>0.35304424003504165</v>
      </c>
    </row>
    <row r="61" spans="1:5" x14ac:dyDescent="0.3">
      <c r="A61" t="s">
        <v>67</v>
      </c>
      <c r="B61" t="s">
        <v>9</v>
      </c>
      <c r="C61">
        <v>4.7300000000000004</v>
      </c>
      <c r="D61">
        <v>1.26</v>
      </c>
      <c r="E61" s="2">
        <f>Portfolio_Data_ProductGroups[[#This Row],[Profit_EUR_m]]/Portfolio_Data_ProductGroups[[#This Row],[Revenue_EUR_m]]</f>
        <v>0.26638477801268495</v>
      </c>
    </row>
    <row r="62" spans="1:5" x14ac:dyDescent="0.3">
      <c r="A62" t="s">
        <v>68</v>
      </c>
      <c r="B62" t="s">
        <v>7</v>
      </c>
      <c r="C62">
        <v>26.19</v>
      </c>
      <c r="D62">
        <v>9.02</v>
      </c>
      <c r="E62" s="2">
        <f>Portfolio_Data_ProductGroups[[#This Row],[Profit_EUR_m]]/Portfolio_Data_ProductGroups[[#This Row],[Revenue_EUR_m]]</f>
        <v>0.34440626193203511</v>
      </c>
    </row>
    <row r="63" spans="1:5" x14ac:dyDescent="0.3">
      <c r="A63" t="s">
        <v>69</v>
      </c>
      <c r="B63" t="s">
        <v>5</v>
      </c>
      <c r="C63">
        <v>73.849999999999994</v>
      </c>
      <c r="D63">
        <v>12.93</v>
      </c>
      <c r="E63" s="2">
        <f>Portfolio_Data_ProductGroups[[#This Row],[Profit_EUR_m]]/Portfolio_Data_ProductGroups[[#This Row],[Revenue_EUR_m]]</f>
        <v>0.17508463100880164</v>
      </c>
    </row>
    <row r="64" spans="1:5" x14ac:dyDescent="0.3">
      <c r="A64" t="s">
        <v>70</v>
      </c>
      <c r="B64" t="s">
        <v>5</v>
      </c>
      <c r="C64">
        <v>49.52</v>
      </c>
      <c r="D64">
        <v>14.05</v>
      </c>
      <c r="E64" s="2">
        <f>Portfolio_Data_ProductGroups[[#This Row],[Profit_EUR_m]]/Portfolio_Data_ProductGroups[[#This Row],[Revenue_EUR_m]]</f>
        <v>0.28372374798061389</v>
      </c>
    </row>
    <row r="65" spans="1:5" x14ac:dyDescent="0.3">
      <c r="A65" t="s">
        <v>71</v>
      </c>
      <c r="B65" t="s">
        <v>5</v>
      </c>
      <c r="C65">
        <v>9.49</v>
      </c>
      <c r="D65">
        <v>1.99</v>
      </c>
      <c r="E65" s="2">
        <f>Portfolio_Data_ProductGroups[[#This Row],[Profit_EUR_m]]/Portfolio_Data_ProductGroups[[#This Row],[Revenue_EUR_m]]</f>
        <v>0.20969441517386722</v>
      </c>
    </row>
    <row r="66" spans="1:5" x14ac:dyDescent="0.3">
      <c r="A66" t="s">
        <v>72</v>
      </c>
      <c r="B66" t="s">
        <v>9</v>
      </c>
      <c r="C66">
        <v>2.5299999999999998</v>
      </c>
      <c r="D66">
        <v>0.31</v>
      </c>
      <c r="E66" s="2">
        <f>Portfolio_Data_ProductGroups[[#This Row],[Profit_EUR_m]]/Portfolio_Data_ProductGroups[[#This Row],[Revenue_EUR_m]]</f>
        <v>0.12252964426877472</v>
      </c>
    </row>
    <row r="67" spans="1:5" x14ac:dyDescent="0.3">
      <c r="A67" t="s">
        <v>73</v>
      </c>
      <c r="B67" t="s">
        <v>5</v>
      </c>
      <c r="C67">
        <v>39.36</v>
      </c>
      <c r="D67">
        <v>10.94</v>
      </c>
      <c r="E67" s="2">
        <f>Portfolio_Data_ProductGroups[[#This Row],[Profit_EUR_m]]/Portfolio_Data_ProductGroups[[#This Row],[Revenue_EUR_m]]</f>
        <v>0.27794715447154472</v>
      </c>
    </row>
    <row r="68" spans="1:5" x14ac:dyDescent="0.3">
      <c r="A68" t="s">
        <v>74</v>
      </c>
      <c r="B68" t="s">
        <v>7</v>
      </c>
      <c r="C68">
        <v>22.91</v>
      </c>
      <c r="D68">
        <v>5.63</v>
      </c>
      <c r="E68" s="2">
        <f>Portfolio_Data_ProductGroups[[#This Row],[Profit_EUR_m]]/Portfolio_Data_ProductGroups[[#This Row],[Revenue_EUR_m]]</f>
        <v>0.24574421649934525</v>
      </c>
    </row>
    <row r="69" spans="1:5" x14ac:dyDescent="0.3">
      <c r="A69" t="s">
        <v>75</v>
      </c>
      <c r="B69" t="s">
        <v>5</v>
      </c>
      <c r="C69">
        <v>24.79</v>
      </c>
      <c r="D69">
        <v>7.71</v>
      </c>
      <c r="E69" s="2">
        <f>Portfolio_Data_ProductGroups[[#This Row],[Profit_EUR_m]]/Portfolio_Data_ProductGroups[[#This Row],[Revenue_EUR_m]]</f>
        <v>0.31101250504235578</v>
      </c>
    </row>
    <row r="70" spans="1:5" x14ac:dyDescent="0.3">
      <c r="A70" t="s">
        <v>76</v>
      </c>
      <c r="B70" t="s">
        <v>5</v>
      </c>
      <c r="C70">
        <v>101.35</v>
      </c>
      <c r="D70">
        <v>26.54</v>
      </c>
      <c r="E70" s="2">
        <f>Portfolio_Data_ProductGroups[[#This Row],[Profit_EUR_m]]/Portfolio_Data_ProductGroups[[#This Row],[Revenue_EUR_m]]</f>
        <v>0.26186482486433155</v>
      </c>
    </row>
    <row r="71" spans="1:5" x14ac:dyDescent="0.3">
      <c r="A71" t="s">
        <v>77</v>
      </c>
      <c r="B71" t="s">
        <v>5</v>
      </c>
      <c r="C71">
        <v>16.760000000000002</v>
      </c>
      <c r="D71">
        <v>5.14</v>
      </c>
      <c r="E71" s="2">
        <f>Portfolio_Data_ProductGroups[[#This Row],[Profit_EUR_m]]/Portfolio_Data_ProductGroups[[#This Row],[Revenue_EUR_m]]</f>
        <v>0.30668257756563239</v>
      </c>
    </row>
    <row r="72" spans="1:5" x14ac:dyDescent="0.3">
      <c r="A72" t="s">
        <v>78</v>
      </c>
      <c r="B72" t="s">
        <v>13</v>
      </c>
      <c r="C72">
        <v>3.99</v>
      </c>
      <c r="D72">
        <v>2.13</v>
      </c>
      <c r="E72" s="2">
        <f>Portfolio_Data_ProductGroups[[#This Row],[Profit_EUR_m]]/Portfolio_Data_ProductGroups[[#This Row],[Revenue_EUR_m]]</f>
        <v>0.53383458646616533</v>
      </c>
    </row>
    <row r="73" spans="1:5" x14ac:dyDescent="0.3">
      <c r="A73" t="s">
        <v>79</v>
      </c>
      <c r="B73" t="s">
        <v>7</v>
      </c>
      <c r="C73">
        <v>3.2</v>
      </c>
      <c r="D73">
        <v>1.23</v>
      </c>
      <c r="E73" s="2">
        <f>Portfolio_Data_ProductGroups[[#This Row],[Profit_EUR_m]]/Portfolio_Data_ProductGroups[[#This Row],[Revenue_EUR_m]]</f>
        <v>0.38437499999999997</v>
      </c>
    </row>
    <row r="74" spans="1:5" x14ac:dyDescent="0.3">
      <c r="A74" t="s">
        <v>80</v>
      </c>
      <c r="B74" t="s">
        <v>13</v>
      </c>
      <c r="C74">
        <v>9.51</v>
      </c>
      <c r="D74">
        <v>3.77</v>
      </c>
      <c r="E74" s="2">
        <f>Portfolio_Data_ProductGroups[[#This Row],[Profit_EUR_m]]/Portfolio_Data_ProductGroups[[#This Row],[Revenue_EUR_m]]</f>
        <v>0.39642481598317564</v>
      </c>
    </row>
    <row r="75" spans="1:5" x14ac:dyDescent="0.3">
      <c r="A75" t="s">
        <v>81</v>
      </c>
      <c r="B75" t="s">
        <v>5</v>
      </c>
      <c r="C75">
        <v>38.75</v>
      </c>
      <c r="D75">
        <v>9.9700000000000006</v>
      </c>
      <c r="E75" s="2">
        <f>Portfolio_Data_ProductGroups[[#This Row],[Profit_EUR_m]]/Portfolio_Data_ProductGroups[[#This Row],[Revenue_EUR_m]]</f>
        <v>0.25729032258064516</v>
      </c>
    </row>
    <row r="76" spans="1:5" x14ac:dyDescent="0.3">
      <c r="A76" t="s">
        <v>82</v>
      </c>
      <c r="B76" t="s">
        <v>9</v>
      </c>
      <c r="C76">
        <v>8.8699999999999992</v>
      </c>
      <c r="D76">
        <v>2.69</v>
      </c>
      <c r="E76" s="2">
        <f>Portfolio_Data_ProductGroups[[#This Row],[Profit_EUR_m]]/Portfolio_Data_ProductGroups[[#This Row],[Revenue_EUR_m]]</f>
        <v>0.30326944757609925</v>
      </c>
    </row>
    <row r="77" spans="1:5" x14ac:dyDescent="0.3">
      <c r="A77" t="s">
        <v>83</v>
      </c>
      <c r="B77" t="s">
        <v>9</v>
      </c>
      <c r="C77">
        <v>12.31</v>
      </c>
      <c r="D77">
        <v>3.29</v>
      </c>
      <c r="E77" s="2">
        <f>Portfolio_Data_ProductGroups[[#This Row],[Profit_EUR_m]]/Portfolio_Data_ProductGroups[[#This Row],[Revenue_EUR_m]]</f>
        <v>0.26726238830219334</v>
      </c>
    </row>
    <row r="78" spans="1:5" x14ac:dyDescent="0.3">
      <c r="A78" t="s">
        <v>84</v>
      </c>
      <c r="B78" t="s">
        <v>13</v>
      </c>
      <c r="C78">
        <v>3.96</v>
      </c>
      <c r="D78">
        <v>2.15</v>
      </c>
      <c r="E78" s="2">
        <f>Portfolio_Data_ProductGroups[[#This Row],[Profit_EUR_m]]/Portfolio_Data_ProductGroups[[#This Row],[Revenue_EUR_m]]</f>
        <v>0.54292929292929293</v>
      </c>
    </row>
    <row r="79" spans="1:5" x14ac:dyDescent="0.3">
      <c r="A79" t="s">
        <v>85</v>
      </c>
      <c r="B79" t="s">
        <v>5</v>
      </c>
      <c r="C79">
        <v>9.06</v>
      </c>
      <c r="D79">
        <v>2.12</v>
      </c>
      <c r="E79" s="2">
        <f>Portfolio_Data_ProductGroups[[#This Row],[Profit_EUR_m]]/Portfolio_Data_ProductGroups[[#This Row],[Revenue_EUR_m]]</f>
        <v>0.23399558498896247</v>
      </c>
    </row>
    <row r="80" spans="1:5" x14ac:dyDescent="0.3">
      <c r="A80" t="s">
        <v>86</v>
      </c>
      <c r="B80" t="s">
        <v>5</v>
      </c>
      <c r="C80">
        <v>14.49</v>
      </c>
      <c r="D80">
        <v>3.88</v>
      </c>
      <c r="E80" s="2">
        <f>Portfolio_Data_ProductGroups[[#This Row],[Profit_EUR_m]]/Portfolio_Data_ProductGroups[[#This Row],[Revenue_EUR_m]]</f>
        <v>0.26777087646652864</v>
      </c>
    </row>
    <row r="81" spans="1:5" x14ac:dyDescent="0.3">
      <c r="A81" t="s">
        <v>87</v>
      </c>
      <c r="B81" t="s">
        <v>13</v>
      </c>
      <c r="C81">
        <v>6.33</v>
      </c>
      <c r="D81">
        <v>2.87</v>
      </c>
      <c r="E81" s="2">
        <f>Portfolio_Data_ProductGroups[[#This Row],[Profit_EUR_m]]/Portfolio_Data_ProductGroups[[#This Row],[Revenue_EUR_m]]</f>
        <v>0.45339652448657192</v>
      </c>
    </row>
    <row r="82" spans="1:5" x14ac:dyDescent="0.3">
      <c r="A82" t="s">
        <v>88</v>
      </c>
      <c r="B82" t="s">
        <v>13</v>
      </c>
      <c r="C82">
        <v>20.079999999999998</v>
      </c>
      <c r="D82">
        <v>7.73</v>
      </c>
      <c r="E82" s="2">
        <f>Portfolio_Data_ProductGroups[[#This Row],[Profit_EUR_m]]/Portfolio_Data_ProductGroups[[#This Row],[Revenue_EUR_m]]</f>
        <v>0.38496015936254985</v>
      </c>
    </row>
    <row r="83" spans="1:5" x14ac:dyDescent="0.3">
      <c r="A83" t="s">
        <v>89</v>
      </c>
      <c r="B83" t="s">
        <v>9</v>
      </c>
      <c r="C83">
        <v>13.8</v>
      </c>
      <c r="D83">
        <v>2.85</v>
      </c>
      <c r="E83" s="2">
        <f>Portfolio_Data_ProductGroups[[#This Row],[Profit_EUR_m]]/Portfolio_Data_ProductGroups[[#This Row],[Revenue_EUR_m]]</f>
        <v>0.20652173913043478</v>
      </c>
    </row>
    <row r="84" spans="1:5" x14ac:dyDescent="0.3">
      <c r="A84" t="s">
        <v>90</v>
      </c>
      <c r="B84" t="s">
        <v>5</v>
      </c>
      <c r="C84">
        <v>20.350000000000001</v>
      </c>
      <c r="D84">
        <v>4.17</v>
      </c>
      <c r="E84" s="2">
        <f>Portfolio_Data_ProductGroups[[#This Row],[Profit_EUR_m]]/Portfolio_Data_ProductGroups[[#This Row],[Revenue_EUR_m]]</f>
        <v>0.20491400491400488</v>
      </c>
    </row>
    <row r="85" spans="1:5" x14ac:dyDescent="0.3">
      <c r="A85" t="s">
        <v>91</v>
      </c>
      <c r="B85" t="s">
        <v>5</v>
      </c>
      <c r="C85">
        <v>32.39</v>
      </c>
      <c r="D85">
        <v>6.9</v>
      </c>
      <c r="E85" s="2">
        <f>Portfolio_Data_ProductGroups[[#This Row],[Profit_EUR_m]]/Portfolio_Data_ProductGroups[[#This Row],[Revenue_EUR_m]]</f>
        <v>0.21302871256560668</v>
      </c>
    </row>
    <row r="86" spans="1:5" x14ac:dyDescent="0.3">
      <c r="A86" t="s">
        <v>92</v>
      </c>
      <c r="B86" t="s">
        <v>13</v>
      </c>
      <c r="C86">
        <v>8.0299999999999994</v>
      </c>
      <c r="D86">
        <v>3.61</v>
      </c>
      <c r="E86" s="2">
        <f>Portfolio_Data_ProductGroups[[#This Row],[Profit_EUR_m]]/Portfolio_Data_ProductGroups[[#This Row],[Revenue_EUR_m]]</f>
        <v>0.44956413449564137</v>
      </c>
    </row>
    <row r="87" spans="1:5" x14ac:dyDescent="0.3">
      <c r="A87" t="s">
        <v>93</v>
      </c>
      <c r="B87" t="s">
        <v>13</v>
      </c>
      <c r="C87">
        <v>8.36</v>
      </c>
      <c r="D87">
        <v>3.42</v>
      </c>
      <c r="E87" s="2">
        <f>Portfolio_Data_ProductGroups[[#This Row],[Profit_EUR_m]]/Portfolio_Data_ProductGroups[[#This Row],[Revenue_EUR_m]]</f>
        <v>0.40909090909090912</v>
      </c>
    </row>
    <row r="88" spans="1:5" x14ac:dyDescent="0.3">
      <c r="A88" t="s">
        <v>94</v>
      </c>
      <c r="B88" t="s">
        <v>9</v>
      </c>
      <c r="C88">
        <v>4.97</v>
      </c>
      <c r="D88">
        <v>1.57</v>
      </c>
      <c r="E88" s="2">
        <f>Portfolio_Data_ProductGroups[[#This Row],[Profit_EUR_m]]/Portfolio_Data_ProductGroups[[#This Row],[Revenue_EUR_m]]</f>
        <v>0.31589537223340042</v>
      </c>
    </row>
    <row r="89" spans="1:5" x14ac:dyDescent="0.3">
      <c r="A89" t="s">
        <v>95</v>
      </c>
      <c r="B89" t="s">
        <v>7</v>
      </c>
      <c r="C89">
        <v>9.32</v>
      </c>
      <c r="D89">
        <v>2.74</v>
      </c>
      <c r="E89" s="2">
        <f>Portfolio_Data_ProductGroups[[#This Row],[Profit_EUR_m]]/Portfolio_Data_ProductGroups[[#This Row],[Revenue_EUR_m]]</f>
        <v>0.29399141630901288</v>
      </c>
    </row>
    <row r="90" spans="1:5" x14ac:dyDescent="0.3">
      <c r="A90" t="s">
        <v>96</v>
      </c>
      <c r="B90" t="s">
        <v>5</v>
      </c>
      <c r="C90">
        <v>48.72</v>
      </c>
      <c r="D90">
        <v>3.59</v>
      </c>
      <c r="E90" s="2">
        <f>Portfolio_Data_ProductGroups[[#This Row],[Profit_EUR_m]]/Portfolio_Data_ProductGroups[[#This Row],[Revenue_EUR_m]]</f>
        <v>7.3686371100164197E-2</v>
      </c>
    </row>
    <row r="91" spans="1:5" x14ac:dyDescent="0.3">
      <c r="A91" t="s">
        <v>97</v>
      </c>
      <c r="B91" t="s">
        <v>7</v>
      </c>
      <c r="C91">
        <v>22.54</v>
      </c>
      <c r="D91">
        <v>4.99</v>
      </c>
      <c r="E91" s="2">
        <f>Portfolio_Data_ProductGroups[[#This Row],[Profit_EUR_m]]/Portfolio_Data_ProductGroups[[#This Row],[Revenue_EUR_m]]</f>
        <v>0.22138420585625557</v>
      </c>
    </row>
    <row r="92" spans="1:5" x14ac:dyDescent="0.3">
      <c r="A92" t="s">
        <v>98</v>
      </c>
      <c r="B92" t="s">
        <v>9</v>
      </c>
      <c r="C92">
        <v>9.7100000000000009</v>
      </c>
      <c r="D92">
        <v>2.48</v>
      </c>
      <c r="E92" s="2">
        <f>Portfolio_Data_ProductGroups[[#This Row],[Profit_EUR_m]]/Portfolio_Data_ProductGroups[[#This Row],[Revenue_EUR_m]]</f>
        <v>0.25540679711637487</v>
      </c>
    </row>
    <row r="93" spans="1:5" x14ac:dyDescent="0.3">
      <c r="A93" t="s">
        <v>99</v>
      </c>
      <c r="B93" t="s">
        <v>9</v>
      </c>
      <c r="C93">
        <v>14.39</v>
      </c>
      <c r="D93">
        <v>2.97</v>
      </c>
      <c r="E93" s="2">
        <f>Portfolio_Data_ProductGroups[[#This Row],[Profit_EUR_m]]/Portfolio_Data_ProductGroups[[#This Row],[Revenue_EUR_m]]</f>
        <v>0.20639332870048646</v>
      </c>
    </row>
    <row r="94" spans="1:5" x14ac:dyDescent="0.3">
      <c r="A94" t="s">
        <v>100</v>
      </c>
      <c r="B94" t="s">
        <v>13</v>
      </c>
      <c r="C94">
        <v>13.59</v>
      </c>
      <c r="D94">
        <v>5.77</v>
      </c>
      <c r="E94" s="2">
        <f>Portfolio_Data_ProductGroups[[#This Row],[Profit_EUR_m]]/Portfolio_Data_ProductGroups[[#This Row],[Revenue_EUR_m]]</f>
        <v>0.42457689477557026</v>
      </c>
    </row>
    <row r="95" spans="1:5" x14ac:dyDescent="0.3">
      <c r="A95" t="s">
        <v>101</v>
      </c>
      <c r="B95" t="s">
        <v>9</v>
      </c>
      <c r="C95">
        <v>11.31</v>
      </c>
      <c r="D95">
        <v>1.81</v>
      </c>
      <c r="E95" s="2">
        <f>Portfolio_Data_ProductGroups[[#This Row],[Profit_EUR_m]]/Portfolio_Data_ProductGroups[[#This Row],[Revenue_EUR_m]]</f>
        <v>0.16003536693191867</v>
      </c>
    </row>
    <row r="96" spans="1:5" x14ac:dyDescent="0.3">
      <c r="A96" t="s">
        <v>102</v>
      </c>
      <c r="B96" t="s">
        <v>13</v>
      </c>
      <c r="C96">
        <v>32.56</v>
      </c>
      <c r="D96">
        <v>14.16</v>
      </c>
      <c r="E96" s="2">
        <f>Portfolio_Data_ProductGroups[[#This Row],[Profit_EUR_m]]/Portfolio_Data_ProductGroups[[#This Row],[Revenue_EUR_m]]</f>
        <v>0.43488943488943488</v>
      </c>
    </row>
    <row r="97" spans="1:5" x14ac:dyDescent="0.3">
      <c r="A97" t="s">
        <v>103</v>
      </c>
      <c r="B97" t="s">
        <v>7</v>
      </c>
      <c r="C97">
        <v>3.91</v>
      </c>
      <c r="D97">
        <v>1.17</v>
      </c>
      <c r="E97" s="2">
        <f>Portfolio_Data_ProductGroups[[#This Row],[Profit_EUR_m]]/Portfolio_Data_ProductGroups[[#This Row],[Revenue_EUR_m]]</f>
        <v>0.29923273657289001</v>
      </c>
    </row>
    <row r="98" spans="1:5" x14ac:dyDescent="0.3">
      <c r="A98" t="s">
        <v>104</v>
      </c>
      <c r="B98" t="s">
        <v>7</v>
      </c>
      <c r="C98">
        <v>13.58</v>
      </c>
      <c r="D98">
        <v>3.48</v>
      </c>
      <c r="E98" s="2">
        <f>Portfolio_Data_ProductGroups[[#This Row],[Profit_EUR_m]]/Portfolio_Data_ProductGroups[[#This Row],[Revenue_EUR_m]]</f>
        <v>0.25625920471281294</v>
      </c>
    </row>
    <row r="99" spans="1:5" x14ac:dyDescent="0.3">
      <c r="A99" t="s">
        <v>105</v>
      </c>
      <c r="B99" t="s">
        <v>7</v>
      </c>
      <c r="C99">
        <v>9.3800000000000008</v>
      </c>
      <c r="D99">
        <v>2.77</v>
      </c>
      <c r="E99" s="2">
        <f>Portfolio_Data_ProductGroups[[#This Row],[Profit_EUR_m]]/Portfolio_Data_ProductGroups[[#This Row],[Revenue_EUR_m]]</f>
        <v>0.29530916844349681</v>
      </c>
    </row>
    <row r="100" spans="1:5" x14ac:dyDescent="0.3">
      <c r="A100" t="s">
        <v>106</v>
      </c>
      <c r="B100" t="s">
        <v>7</v>
      </c>
      <c r="C100">
        <v>22</v>
      </c>
      <c r="D100">
        <v>5.5</v>
      </c>
      <c r="E100" s="2">
        <f>Portfolio_Data_ProductGroups[[#This Row],[Profit_EUR_m]]/Portfolio_Data_ProductGroups[[#This Row],[Revenue_EUR_m]]</f>
        <v>0.25</v>
      </c>
    </row>
    <row r="101" spans="1:5" x14ac:dyDescent="0.3">
      <c r="A101" t="s">
        <v>107</v>
      </c>
      <c r="B101" t="s">
        <v>9</v>
      </c>
      <c r="C101">
        <v>24.52</v>
      </c>
      <c r="D101">
        <v>4.33</v>
      </c>
      <c r="E101" s="2">
        <f>Portfolio_Data_ProductGroups[[#This Row],[Profit_EUR_m]]/Portfolio_Data_ProductGroups[[#This Row],[Revenue_EUR_m]]</f>
        <v>0.17659053833605221</v>
      </c>
    </row>
    <row r="102" spans="1:5" x14ac:dyDescent="0.3">
      <c r="A102" t="s">
        <v>108</v>
      </c>
      <c r="B102" t="s">
        <v>7</v>
      </c>
      <c r="C102">
        <v>7.46</v>
      </c>
      <c r="D102">
        <v>1.8</v>
      </c>
      <c r="E102" s="2">
        <f>Portfolio_Data_ProductGroups[[#This Row],[Profit_EUR_m]]/Portfolio_Data_ProductGroups[[#This Row],[Revenue_EUR_m]]</f>
        <v>0.24128686327077747</v>
      </c>
    </row>
    <row r="103" spans="1:5" x14ac:dyDescent="0.3">
      <c r="A103" t="s">
        <v>109</v>
      </c>
      <c r="B103" t="s">
        <v>5</v>
      </c>
      <c r="C103">
        <v>4</v>
      </c>
      <c r="D103">
        <v>1.18</v>
      </c>
      <c r="E103" s="2">
        <f>Portfolio_Data_ProductGroups[[#This Row],[Profit_EUR_m]]/Portfolio_Data_ProductGroups[[#This Row],[Revenue_EUR_m]]</f>
        <v>0.29499999999999998</v>
      </c>
    </row>
    <row r="104" spans="1:5" x14ac:dyDescent="0.3">
      <c r="A104" t="s">
        <v>110</v>
      </c>
      <c r="B104" t="s">
        <v>9</v>
      </c>
      <c r="C104">
        <v>4.08</v>
      </c>
      <c r="D104">
        <v>0.82</v>
      </c>
      <c r="E104" s="2">
        <f>Portfolio_Data_ProductGroups[[#This Row],[Profit_EUR_m]]/Portfolio_Data_ProductGroups[[#This Row],[Revenue_EUR_m]]</f>
        <v>0.20098039215686272</v>
      </c>
    </row>
    <row r="105" spans="1:5" x14ac:dyDescent="0.3">
      <c r="A105" t="s">
        <v>111</v>
      </c>
      <c r="B105" t="s">
        <v>5</v>
      </c>
      <c r="C105">
        <v>5.82</v>
      </c>
      <c r="D105">
        <v>1.39</v>
      </c>
      <c r="E105" s="2">
        <f>Portfolio_Data_ProductGroups[[#This Row],[Profit_EUR_m]]/Portfolio_Data_ProductGroups[[#This Row],[Revenue_EUR_m]]</f>
        <v>0.2388316151202749</v>
      </c>
    </row>
    <row r="106" spans="1:5" x14ac:dyDescent="0.3">
      <c r="A106" t="s">
        <v>112</v>
      </c>
      <c r="B106" t="s">
        <v>9</v>
      </c>
      <c r="C106">
        <v>49.95</v>
      </c>
      <c r="D106">
        <v>14.95</v>
      </c>
      <c r="E106" s="2">
        <f>Portfolio_Data_ProductGroups[[#This Row],[Profit_EUR_m]]/Portfolio_Data_ProductGroups[[#This Row],[Revenue_EUR_m]]</f>
        <v>0.29929929929929927</v>
      </c>
    </row>
    <row r="107" spans="1:5" x14ac:dyDescent="0.3">
      <c r="A107" t="s">
        <v>113</v>
      </c>
      <c r="B107" t="s">
        <v>5</v>
      </c>
      <c r="C107">
        <v>28.35</v>
      </c>
      <c r="D107">
        <v>7.04</v>
      </c>
      <c r="E107" s="2">
        <f>Portfolio_Data_ProductGroups[[#This Row],[Profit_EUR_m]]/Portfolio_Data_ProductGroups[[#This Row],[Revenue_EUR_m]]</f>
        <v>0.24832451499118163</v>
      </c>
    </row>
    <row r="108" spans="1:5" x14ac:dyDescent="0.3">
      <c r="A108" t="s">
        <v>114</v>
      </c>
      <c r="B108" t="s">
        <v>5</v>
      </c>
      <c r="C108">
        <v>35.08</v>
      </c>
      <c r="D108">
        <v>9.64</v>
      </c>
      <c r="E108" s="2">
        <f>Portfolio_Data_ProductGroups[[#This Row],[Profit_EUR_m]]/Portfolio_Data_ProductGroups[[#This Row],[Revenue_EUR_m]]</f>
        <v>0.27480045610034209</v>
      </c>
    </row>
    <row r="109" spans="1:5" x14ac:dyDescent="0.3">
      <c r="A109" t="s">
        <v>115</v>
      </c>
      <c r="B109" t="s">
        <v>9</v>
      </c>
      <c r="C109">
        <v>71.540000000000006</v>
      </c>
      <c r="D109">
        <v>15.77</v>
      </c>
      <c r="E109" s="2">
        <f>Portfolio_Data_ProductGroups[[#This Row],[Profit_EUR_m]]/Portfolio_Data_ProductGroups[[#This Row],[Revenue_EUR_m]]</f>
        <v>0.22043611965334076</v>
      </c>
    </row>
    <row r="110" spans="1:5" x14ac:dyDescent="0.3">
      <c r="A110" t="s">
        <v>116</v>
      </c>
      <c r="B110" t="s">
        <v>9</v>
      </c>
      <c r="C110">
        <v>7.34</v>
      </c>
      <c r="D110">
        <v>2.0299999999999998</v>
      </c>
      <c r="E110" s="2">
        <f>Portfolio_Data_ProductGroups[[#This Row],[Profit_EUR_m]]/Portfolio_Data_ProductGroups[[#This Row],[Revenue_EUR_m]]</f>
        <v>0.27656675749318799</v>
      </c>
    </row>
    <row r="111" spans="1:5" x14ac:dyDescent="0.3">
      <c r="A111" t="s">
        <v>117</v>
      </c>
      <c r="B111" t="s">
        <v>13</v>
      </c>
      <c r="C111">
        <v>3.48</v>
      </c>
      <c r="D111">
        <v>1.64</v>
      </c>
      <c r="E111" s="2">
        <f>Portfolio_Data_ProductGroups[[#This Row],[Profit_EUR_m]]/Portfolio_Data_ProductGroups[[#This Row],[Revenue_EUR_m]]</f>
        <v>0.47126436781609193</v>
      </c>
    </row>
    <row r="112" spans="1:5" x14ac:dyDescent="0.3">
      <c r="A112" t="s">
        <v>118</v>
      </c>
      <c r="B112" t="s">
        <v>9</v>
      </c>
      <c r="C112">
        <v>2.86</v>
      </c>
      <c r="D112">
        <v>0.59</v>
      </c>
      <c r="E112" s="2">
        <f>Portfolio_Data_ProductGroups[[#This Row],[Profit_EUR_m]]/Portfolio_Data_ProductGroups[[#This Row],[Revenue_EUR_m]]</f>
        <v>0.2062937062937063</v>
      </c>
    </row>
    <row r="113" spans="1:5" x14ac:dyDescent="0.3">
      <c r="A113" t="s">
        <v>119</v>
      </c>
      <c r="B113" t="s">
        <v>9</v>
      </c>
      <c r="C113">
        <v>9.75</v>
      </c>
      <c r="D113">
        <v>1.44</v>
      </c>
      <c r="E113" s="2">
        <f>Portfolio_Data_ProductGroups[[#This Row],[Profit_EUR_m]]/Portfolio_Data_ProductGroups[[#This Row],[Revenue_EUR_m]]</f>
        <v>0.14769230769230768</v>
      </c>
    </row>
    <row r="114" spans="1:5" x14ac:dyDescent="0.3">
      <c r="A114" t="s">
        <v>120</v>
      </c>
      <c r="B114" t="s">
        <v>9</v>
      </c>
      <c r="C114">
        <v>15.73</v>
      </c>
      <c r="D114">
        <v>2.15</v>
      </c>
      <c r="E114" s="2">
        <f>Portfolio_Data_ProductGroups[[#This Row],[Profit_EUR_m]]/Portfolio_Data_ProductGroups[[#This Row],[Revenue_EUR_m]]</f>
        <v>0.13668150031786394</v>
      </c>
    </row>
    <row r="115" spans="1:5" x14ac:dyDescent="0.3">
      <c r="A115" t="s">
        <v>121</v>
      </c>
      <c r="B115" t="s">
        <v>9</v>
      </c>
      <c r="C115">
        <v>8.94</v>
      </c>
      <c r="D115">
        <v>2.13</v>
      </c>
      <c r="E115" s="2">
        <f>Portfolio_Data_ProductGroups[[#This Row],[Profit_EUR_m]]/Portfolio_Data_ProductGroups[[#This Row],[Revenue_EUR_m]]</f>
        <v>0.23825503355704697</v>
      </c>
    </row>
    <row r="116" spans="1:5" x14ac:dyDescent="0.3">
      <c r="A116" t="s">
        <v>122</v>
      </c>
      <c r="B116" t="s">
        <v>7</v>
      </c>
      <c r="C116">
        <v>11.55</v>
      </c>
      <c r="D116">
        <v>3.46</v>
      </c>
      <c r="E116" s="2">
        <f>Portfolio_Data_ProductGroups[[#This Row],[Profit_EUR_m]]/Portfolio_Data_ProductGroups[[#This Row],[Revenue_EUR_m]]</f>
        <v>0.29956709956709954</v>
      </c>
    </row>
    <row r="117" spans="1:5" x14ac:dyDescent="0.3">
      <c r="A117" t="s">
        <v>123</v>
      </c>
      <c r="B117" t="s">
        <v>5</v>
      </c>
      <c r="C117">
        <v>30.49</v>
      </c>
      <c r="D117">
        <v>7.54</v>
      </c>
      <c r="E117" s="2">
        <f>Portfolio_Data_ProductGroups[[#This Row],[Profit_EUR_m]]/Portfolio_Data_ProductGroups[[#This Row],[Revenue_EUR_m]]</f>
        <v>0.24729419481797313</v>
      </c>
    </row>
    <row r="118" spans="1:5" x14ac:dyDescent="0.3">
      <c r="A118" t="s">
        <v>124</v>
      </c>
      <c r="B118" t="s">
        <v>7</v>
      </c>
      <c r="C118">
        <v>5.55</v>
      </c>
      <c r="D118">
        <v>1.1399999999999999</v>
      </c>
      <c r="E118" s="2">
        <f>Portfolio_Data_ProductGroups[[#This Row],[Profit_EUR_m]]/Portfolio_Data_ProductGroups[[#This Row],[Revenue_EUR_m]]</f>
        <v>0.20540540540540539</v>
      </c>
    </row>
    <row r="119" spans="1:5" x14ac:dyDescent="0.3">
      <c r="A119" t="s">
        <v>125</v>
      </c>
      <c r="B119" t="s">
        <v>13</v>
      </c>
      <c r="C119">
        <v>7.72</v>
      </c>
      <c r="D119">
        <v>3.62</v>
      </c>
      <c r="E119" s="2">
        <f>Portfolio_Data_ProductGroups[[#This Row],[Profit_EUR_m]]/Portfolio_Data_ProductGroups[[#This Row],[Revenue_EUR_m]]</f>
        <v>0.46891191709844565</v>
      </c>
    </row>
    <row r="120" spans="1:5" x14ac:dyDescent="0.3">
      <c r="A120" t="s">
        <v>126</v>
      </c>
      <c r="B120" t="s">
        <v>5</v>
      </c>
      <c r="C120">
        <v>8.34</v>
      </c>
      <c r="D120">
        <v>1.85</v>
      </c>
      <c r="E120" s="2">
        <f>Portfolio_Data_ProductGroups[[#This Row],[Profit_EUR_m]]/Portfolio_Data_ProductGroups[[#This Row],[Revenue_EUR_m]]</f>
        <v>0.22182254196642687</v>
      </c>
    </row>
    <row r="121" spans="1:5" x14ac:dyDescent="0.3">
      <c r="A121" t="s">
        <v>127</v>
      </c>
      <c r="B121" t="s">
        <v>9</v>
      </c>
      <c r="C121">
        <v>22.48</v>
      </c>
      <c r="D121">
        <v>3</v>
      </c>
      <c r="E121" s="2">
        <f>Portfolio_Data_ProductGroups[[#This Row],[Profit_EUR_m]]/Portfolio_Data_ProductGroups[[#This Row],[Revenue_EUR_m]]</f>
        <v>0.13345195729537365</v>
      </c>
    </row>
    <row r="122" spans="1:5" x14ac:dyDescent="0.3">
      <c r="A122" t="s">
        <v>128</v>
      </c>
      <c r="B122" t="s">
        <v>13</v>
      </c>
      <c r="C122">
        <v>7.1</v>
      </c>
      <c r="D122">
        <v>2.4300000000000002</v>
      </c>
      <c r="E122" s="2">
        <f>Portfolio_Data_ProductGroups[[#This Row],[Profit_EUR_m]]/Portfolio_Data_ProductGroups[[#This Row],[Revenue_EUR_m]]</f>
        <v>0.34225352112676061</v>
      </c>
    </row>
    <row r="123" spans="1:5" x14ac:dyDescent="0.3">
      <c r="A123" t="s">
        <v>129</v>
      </c>
      <c r="B123" t="s">
        <v>7</v>
      </c>
      <c r="C123">
        <v>5</v>
      </c>
      <c r="D123">
        <v>1.24</v>
      </c>
      <c r="E123" s="2">
        <f>Portfolio_Data_ProductGroups[[#This Row],[Profit_EUR_m]]/Portfolio_Data_ProductGroups[[#This Row],[Revenue_EUR_m]]</f>
        <v>0.248</v>
      </c>
    </row>
    <row r="124" spans="1:5" x14ac:dyDescent="0.3">
      <c r="A124" t="s">
        <v>130</v>
      </c>
      <c r="B124" t="s">
        <v>5</v>
      </c>
      <c r="C124">
        <v>26.6</v>
      </c>
      <c r="D124">
        <v>6.21</v>
      </c>
      <c r="E124" s="2">
        <f>Portfolio_Data_ProductGroups[[#This Row],[Profit_EUR_m]]/Portfolio_Data_ProductGroups[[#This Row],[Revenue_EUR_m]]</f>
        <v>0.23345864661654134</v>
      </c>
    </row>
    <row r="125" spans="1:5" x14ac:dyDescent="0.3">
      <c r="A125" t="s">
        <v>131</v>
      </c>
      <c r="B125" t="s">
        <v>7</v>
      </c>
      <c r="C125">
        <v>43.02</v>
      </c>
      <c r="D125">
        <v>10.46</v>
      </c>
      <c r="E125" s="2">
        <f>Portfolio_Data_ProductGroups[[#This Row],[Profit_EUR_m]]/Portfolio_Data_ProductGroups[[#This Row],[Revenue_EUR_m]]</f>
        <v>0.24314272431427245</v>
      </c>
    </row>
    <row r="126" spans="1:5" x14ac:dyDescent="0.3">
      <c r="A126" t="s">
        <v>132</v>
      </c>
      <c r="B126" t="s">
        <v>9</v>
      </c>
      <c r="C126">
        <v>2.73</v>
      </c>
      <c r="D126">
        <v>0.67</v>
      </c>
      <c r="E126" s="2">
        <f>Portfolio_Data_ProductGroups[[#This Row],[Profit_EUR_m]]/Portfolio_Data_ProductGroups[[#This Row],[Revenue_EUR_m]]</f>
        <v>0.24542124542124544</v>
      </c>
    </row>
    <row r="127" spans="1:5" x14ac:dyDescent="0.3">
      <c r="A127" t="s">
        <v>133</v>
      </c>
      <c r="B127" t="s">
        <v>9</v>
      </c>
      <c r="C127">
        <v>15.39</v>
      </c>
      <c r="D127">
        <v>3.45</v>
      </c>
      <c r="E127" s="2">
        <f>Portfolio_Data_ProductGroups[[#This Row],[Profit_EUR_m]]/Portfolio_Data_ProductGroups[[#This Row],[Revenue_EUR_m]]</f>
        <v>0.22417153996101366</v>
      </c>
    </row>
    <row r="128" spans="1:5" x14ac:dyDescent="0.3">
      <c r="A128" t="s">
        <v>134</v>
      </c>
      <c r="B128" t="s">
        <v>9</v>
      </c>
      <c r="C128">
        <v>9.19</v>
      </c>
      <c r="D128">
        <v>1.89</v>
      </c>
      <c r="E128" s="2">
        <f>Portfolio_Data_ProductGroups[[#This Row],[Profit_EUR_m]]/Portfolio_Data_ProductGroups[[#This Row],[Revenue_EUR_m]]</f>
        <v>0.20565832426550598</v>
      </c>
    </row>
    <row r="129" spans="1:5" x14ac:dyDescent="0.3">
      <c r="A129" t="s">
        <v>135</v>
      </c>
      <c r="B129" t="s">
        <v>9</v>
      </c>
      <c r="C129">
        <v>27.15</v>
      </c>
      <c r="D129">
        <v>7.61</v>
      </c>
      <c r="E129" s="2">
        <f>Portfolio_Data_ProductGroups[[#This Row],[Profit_EUR_m]]/Portfolio_Data_ProductGroups[[#This Row],[Revenue_EUR_m]]</f>
        <v>0.28029465930018421</v>
      </c>
    </row>
    <row r="130" spans="1:5" x14ac:dyDescent="0.3">
      <c r="A130" t="s">
        <v>136</v>
      </c>
      <c r="B130" t="s">
        <v>7</v>
      </c>
      <c r="C130">
        <v>12.15</v>
      </c>
      <c r="D130">
        <v>3.52</v>
      </c>
      <c r="E130" s="2">
        <f>Portfolio_Data_ProductGroups[[#This Row],[Profit_EUR_m]]/Portfolio_Data_ProductGroups[[#This Row],[Revenue_EUR_m]]</f>
        <v>0.28971193415637858</v>
      </c>
    </row>
    <row r="131" spans="1:5" x14ac:dyDescent="0.3">
      <c r="A131" t="s">
        <v>137</v>
      </c>
      <c r="B131" t="s">
        <v>5</v>
      </c>
      <c r="C131">
        <v>21.23</v>
      </c>
      <c r="D131">
        <v>5.86</v>
      </c>
      <c r="E131" s="2">
        <f>Portfolio_Data_ProductGroups[[#This Row],[Profit_EUR_m]]/Portfolio_Data_ProductGroups[[#This Row],[Revenue_EUR_m]]</f>
        <v>0.27602449364107395</v>
      </c>
    </row>
    <row r="132" spans="1:5" x14ac:dyDescent="0.3">
      <c r="A132" t="s">
        <v>138</v>
      </c>
      <c r="B132" t="s">
        <v>9</v>
      </c>
      <c r="C132">
        <v>4.08</v>
      </c>
      <c r="D132">
        <v>0.83</v>
      </c>
      <c r="E132" s="2">
        <f>Portfolio_Data_ProductGroups[[#This Row],[Profit_EUR_m]]/Portfolio_Data_ProductGroups[[#This Row],[Revenue_EUR_m]]</f>
        <v>0.20343137254901961</v>
      </c>
    </row>
    <row r="133" spans="1:5" x14ac:dyDescent="0.3">
      <c r="A133" t="s">
        <v>139</v>
      </c>
      <c r="B133" t="s">
        <v>9</v>
      </c>
      <c r="C133">
        <v>18.13</v>
      </c>
      <c r="D133">
        <v>5.92</v>
      </c>
      <c r="E133" s="2">
        <f>Portfolio_Data_ProductGroups[[#This Row],[Profit_EUR_m]]/Portfolio_Data_ProductGroups[[#This Row],[Revenue_EUR_m]]</f>
        <v>0.32653061224489799</v>
      </c>
    </row>
    <row r="134" spans="1:5" x14ac:dyDescent="0.3">
      <c r="A134" t="s">
        <v>140</v>
      </c>
      <c r="B134" t="s">
        <v>7</v>
      </c>
      <c r="C134">
        <v>15.97</v>
      </c>
      <c r="D134">
        <v>3.74</v>
      </c>
      <c r="E134" s="2">
        <f>Portfolio_Data_ProductGroups[[#This Row],[Profit_EUR_m]]/Portfolio_Data_ProductGroups[[#This Row],[Revenue_EUR_m]]</f>
        <v>0.23418910457107076</v>
      </c>
    </row>
    <row r="135" spans="1:5" x14ac:dyDescent="0.3">
      <c r="A135" t="s">
        <v>141</v>
      </c>
      <c r="B135" t="s">
        <v>13</v>
      </c>
      <c r="C135">
        <v>8.93</v>
      </c>
      <c r="D135">
        <v>3.17</v>
      </c>
      <c r="E135" s="2">
        <f>Portfolio_Data_ProductGroups[[#This Row],[Profit_EUR_m]]/Portfolio_Data_ProductGroups[[#This Row],[Revenue_EUR_m]]</f>
        <v>0.35498320268757</v>
      </c>
    </row>
    <row r="136" spans="1:5" x14ac:dyDescent="0.3">
      <c r="A136" t="s">
        <v>142</v>
      </c>
      <c r="B136" t="s">
        <v>7</v>
      </c>
      <c r="C136">
        <v>15.89</v>
      </c>
      <c r="D136">
        <v>4.38</v>
      </c>
      <c r="E136" s="2">
        <f>Portfolio_Data_ProductGroups[[#This Row],[Profit_EUR_m]]/Portfolio_Data_ProductGroups[[#This Row],[Revenue_EUR_m]]</f>
        <v>0.27564505978602893</v>
      </c>
    </row>
    <row r="137" spans="1:5" x14ac:dyDescent="0.3">
      <c r="A137" t="s">
        <v>143</v>
      </c>
      <c r="B137" t="s">
        <v>9</v>
      </c>
      <c r="C137">
        <v>34.5</v>
      </c>
      <c r="D137">
        <v>7.49</v>
      </c>
      <c r="E137" s="2">
        <f>Portfolio_Data_ProductGroups[[#This Row],[Profit_EUR_m]]/Portfolio_Data_ProductGroups[[#This Row],[Revenue_EUR_m]]</f>
        <v>0.21710144927536232</v>
      </c>
    </row>
    <row r="138" spans="1:5" x14ac:dyDescent="0.3">
      <c r="A138" t="s">
        <v>144</v>
      </c>
      <c r="B138" t="s">
        <v>5</v>
      </c>
      <c r="C138">
        <v>17.14</v>
      </c>
      <c r="D138">
        <v>2.2599999999999998</v>
      </c>
      <c r="E138" s="2">
        <f>Portfolio_Data_ProductGroups[[#This Row],[Profit_EUR_m]]/Portfolio_Data_ProductGroups[[#This Row],[Revenue_EUR_m]]</f>
        <v>0.13185530921820302</v>
      </c>
    </row>
    <row r="139" spans="1:5" x14ac:dyDescent="0.3">
      <c r="A139" t="s">
        <v>145</v>
      </c>
      <c r="B139" t="s">
        <v>9</v>
      </c>
      <c r="C139">
        <v>15.55</v>
      </c>
      <c r="D139">
        <v>3.26</v>
      </c>
      <c r="E139" s="2">
        <f>Portfolio_Data_ProductGroups[[#This Row],[Profit_EUR_m]]/Portfolio_Data_ProductGroups[[#This Row],[Revenue_EUR_m]]</f>
        <v>0.20964630225080383</v>
      </c>
    </row>
    <row r="140" spans="1:5" x14ac:dyDescent="0.3">
      <c r="A140" t="s">
        <v>146</v>
      </c>
      <c r="B140" t="s">
        <v>9</v>
      </c>
      <c r="C140">
        <v>28.62</v>
      </c>
      <c r="D140">
        <v>6.53</v>
      </c>
      <c r="E140" s="2">
        <f>Portfolio_Data_ProductGroups[[#This Row],[Profit_EUR_m]]/Portfolio_Data_ProductGroups[[#This Row],[Revenue_EUR_m]]</f>
        <v>0.22816212438853947</v>
      </c>
    </row>
    <row r="141" spans="1:5" x14ac:dyDescent="0.3">
      <c r="A141" t="s">
        <v>147</v>
      </c>
      <c r="B141" t="s">
        <v>13</v>
      </c>
      <c r="C141">
        <v>5.31</v>
      </c>
      <c r="D141">
        <v>2.27</v>
      </c>
      <c r="E141" s="2">
        <f>Portfolio_Data_ProductGroups[[#This Row],[Profit_EUR_m]]/Portfolio_Data_ProductGroups[[#This Row],[Revenue_EUR_m]]</f>
        <v>0.42749529190207158</v>
      </c>
    </row>
    <row r="142" spans="1:5" x14ac:dyDescent="0.3">
      <c r="A142" t="s">
        <v>148</v>
      </c>
      <c r="B142" t="s">
        <v>7</v>
      </c>
      <c r="C142">
        <v>65.319999999999993</v>
      </c>
      <c r="D142">
        <v>20.59</v>
      </c>
      <c r="E142" s="2">
        <f>Portfolio_Data_ProductGroups[[#This Row],[Profit_EUR_m]]/Portfolio_Data_ProductGroups[[#This Row],[Revenue_EUR_m]]</f>
        <v>0.31521739130434784</v>
      </c>
    </row>
    <row r="143" spans="1:5" x14ac:dyDescent="0.3">
      <c r="A143" t="s">
        <v>149</v>
      </c>
      <c r="B143" t="s">
        <v>7</v>
      </c>
      <c r="C143">
        <v>12.91</v>
      </c>
      <c r="D143">
        <v>4.12</v>
      </c>
      <c r="E143" s="2">
        <f>Portfolio_Data_ProductGroups[[#This Row],[Profit_EUR_m]]/Portfolio_Data_ProductGroups[[#This Row],[Revenue_EUR_m]]</f>
        <v>0.31913245546088304</v>
      </c>
    </row>
    <row r="144" spans="1:5" x14ac:dyDescent="0.3">
      <c r="A144" t="s">
        <v>150</v>
      </c>
      <c r="B144" t="s">
        <v>9</v>
      </c>
      <c r="C144">
        <v>9.15</v>
      </c>
      <c r="D144">
        <v>1.59</v>
      </c>
      <c r="E144" s="2">
        <f>Portfolio_Data_ProductGroups[[#This Row],[Profit_EUR_m]]/Portfolio_Data_ProductGroups[[#This Row],[Revenue_EUR_m]]</f>
        <v>0.17377049180327869</v>
      </c>
    </row>
    <row r="145" spans="1:5" x14ac:dyDescent="0.3">
      <c r="A145" t="s">
        <v>151</v>
      </c>
      <c r="B145" t="s">
        <v>9</v>
      </c>
      <c r="C145">
        <v>47.94</v>
      </c>
      <c r="D145">
        <v>8.52</v>
      </c>
      <c r="E145" s="2">
        <f>Portfolio_Data_ProductGroups[[#This Row],[Profit_EUR_m]]/Portfolio_Data_ProductGroups[[#This Row],[Revenue_EUR_m]]</f>
        <v>0.17772215269086358</v>
      </c>
    </row>
    <row r="146" spans="1:5" x14ac:dyDescent="0.3">
      <c r="A146" t="s">
        <v>152</v>
      </c>
      <c r="B146" t="s">
        <v>5</v>
      </c>
      <c r="C146">
        <v>26.95</v>
      </c>
      <c r="D146">
        <v>7.75</v>
      </c>
      <c r="E146" s="2">
        <f>Portfolio_Data_ProductGroups[[#This Row],[Profit_EUR_m]]/Portfolio_Data_ProductGroups[[#This Row],[Revenue_EUR_m]]</f>
        <v>0.28756957328385901</v>
      </c>
    </row>
    <row r="147" spans="1:5" x14ac:dyDescent="0.3">
      <c r="A147" t="s">
        <v>153</v>
      </c>
      <c r="B147" t="s">
        <v>7</v>
      </c>
      <c r="C147">
        <v>7.53</v>
      </c>
      <c r="D147">
        <v>1.53</v>
      </c>
      <c r="E147" s="2">
        <f>Portfolio_Data_ProductGroups[[#This Row],[Profit_EUR_m]]/Portfolio_Data_ProductGroups[[#This Row],[Revenue_EUR_m]]</f>
        <v>0.20318725099601592</v>
      </c>
    </row>
    <row r="148" spans="1:5" x14ac:dyDescent="0.3">
      <c r="A148" t="s">
        <v>154</v>
      </c>
      <c r="B148" t="s">
        <v>13</v>
      </c>
      <c r="C148">
        <v>4.88</v>
      </c>
      <c r="D148">
        <v>2.13</v>
      </c>
      <c r="E148" s="2">
        <f>Portfolio_Data_ProductGroups[[#This Row],[Profit_EUR_m]]/Portfolio_Data_ProductGroups[[#This Row],[Revenue_EUR_m]]</f>
        <v>0.43647540983606559</v>
      </c>
    </row>
    <row r="149" spans="1:5" x14ac:dyDescent="0.3">
      <c r="A149" t="s">
        <v>155</v>
      </c>
      <c r="B149" t="s">
        <v>5</v>
      </c>
      <c r="C149">
        <v>28.27</v>
      </c>
      <c r="D149">
        <v>3.16</v>
      </c>
      <c r="E149" s="2">
        <f>Portfolio_Data_ProductGroups[[#This Row],[Profit_EUR_m]]/Portfolio_Data_ProductGroups[[#This Row],[Revenue_EUR_m]]</f>
        <v>0.11177927131234525</v>
      </c>
    </row>
    <row r="150" spans="1:5" x14ac:dyDescent="0.3">
      <c r="A150" t="s">
        <v>156</v>
      </c>
      <c r="B150" t="s">
        <v>5</v>
      </c>
      <c r="C150">
        <v>11.24</v>
      </c>
      <c r="D150">
        <v>2.67</v>
      </c>
      <c r="E150" s="2">
        <f>Portfolio_Data_ProductGroups[[#This Row],[Profit_EUR_m]]/Portfolio_Data_ProductGroups[[#This Row],[Revenue_EUR_m]]</f>
        <v>0.23754448398576511</v>
      </c>
    </row>
    <row r="151" spans="1:5" x14ac:dyDescent="0.3">
      <c r="A151" t="s">
        <v>157</v>
      </c>
      <c r="B151" t="s">
        <v>7</v>
      </c>
      <c r="C151">
        <v>6.17</v>
      </c>
      <c r="D151">
        <v>1.62</v>
      </c>
      <c r="E151" s="2">
        <f>Portfolio_Data_ProductGroups[[#This Row],[Profit_EUR_m]]/Portfolio_Data_ProductGroups[[#This Row],[Revenue_EUR_m]]</f>
        <v>0.26256077795786065</v>
      </c>
    </row>
    <row r="152" spans="1:5" x14ac:dyDescent="0.3">
      <c r="A152" t="s">
        <v>158</v>
      </c>
      <c r="B152" t="s">
        <v>9</v>
      </c>
      <c r="C152">
        <v>9.6199999999999992</v>
      </c>
      <c r="D152">
        <v>1.57</v>
      </c>
      <c r="E152" s="2">
        <f>Portfolio_Data_ProductGroups[[#This Row],[Profit_EUR_m]]/Portfolio_Data_ProductGroups[[#This Row],[Revenue_EUR_m]]</f>
        <v>0.16320166320166321</v>
      </c>
    </row>
    <row r="153" spans="1:5" x14ac:dyDescent="0.3">
      <c r="A153" t="s">
        <v>159</v>
      </c>
      <c r="B153" t="s">
        <v>5</v>
      </c>
      <c r="C153">
        <v>12.16</v>
      </c>
      <c r="D153">
        <v>3.59</v>
      </c>
      <c r="E153" s="2">
        <f>Portfolio_Data_ProductGroups[[#This Row],[Profit_EUR_m]]/Portfolio_Data_ProductGroups[[#This Row],[Revenue_EUR_m]]</f>
        <v>0.29523026315789475</v>
      </c>
    </row>
    <row r="154" spans="1:5" x14ac:dyDescent="0.3">
      <c r="A154" t="s">
        <v>160</v>
      </c>
      <c r="B154" t="s">
        <v>13</v>
      </c>
      <c r="C154">
        <v>4.62</v>
      </c>
      <c r="D154">
        <v>1.96</v>
      </c>
      <c r="E154" s="2">
        <f>Portfolio_Data_ProductGroups[[#This Row],[Profit_EUR_m]]/Portfolio_Data_ProductGroups[[#This Row],[Revenue_EUR_m]]</f>
        <v>0.4242424242424242</v>
      </c>
    </row>
    <row r="155" spans="1:5" x14ac:dyDescent="0.3">
      <c r="A155" t="s">
        <v>161</v>
      </c>
      <c r="B155" t="s">
        <v>7</v>
      </c>
      <c r="C155">
        <v>20.07</v>
      </c>
      <c r="D155">
        <v>5.97</v>
      </c>
      <c r="E155" s="2">
        <f>Portfolio_Data_ProductGroups[[#This Row],[Profit_EUR_m]]/Portfolio_Data_ProductGroups[[#This Row],[Revenue_EUR_m]]</f>
        <v>0.29745889387144991</v>
      </c>
    </row>
    <row r="156" spans="1:5" x14ac:dyDescent="0.3">
      <c r="A156" t="s">
        <v>162</v>
      </c>
      <c r="B156" t="s">
        <v>5</v>
      </c>
      <c r="C156">
        <v>27.29</v>
      </c>
      <c r="D156">
        <v>7.3</v>
      </c>
      <c r="E156" s="2">
        <f>Portfolio_Data_ProductGroups[[#This Row],[Profit_EUR_m]]/Portfolio_Data_ProductGroups[[#This Row],[Revenue_EUR_m]]</f>
        <v>0.26749725174056432</v>
      </c>
    </row>
    <row r="157" spans="1:5" x14ac:dyDescent="0.3">
      <c r="A157" t="s">
        <v>163</v>
      </c>
      <c r="B157" t="s">
        <v>5</v>
      </c>
      <c r="C157">
        <v>92.52</v>
      </c>
      <c r="D157">
        <v>19.29</v>
      </c>
      <c r="E157" s="2">
        <f>Portfolio_Data_ProductGroups[[#This Row],[Profit_EUR_m]]/Portfolio_Data_ProductGroups[[#This Row],[Revenue_EUR_m]]</f>
        <v>0.20849546044098574</v>
      </c>
    </row>
    <row r="158" spans="1:5" x14ac:dyDescent="0.3">
      <c r="A158" t="s">
        <v>164</v>
      </c>
      <c r="B158" t="s">
        <v>5</v>
      </c>
      <c r="C158">
        <v>26.41</v>
      </c>
      <c r="D158">
        <v>7.56</v>
      </c>
      <c r="E158" s="2">
        <f>Portfolio_Data_ProductGroups[[#This Row],[Profit_EUR_m]]/Portfolio_Data_ProductGroups[[#This Row],[Revenue_EUR_m]]</f>
        <v>0.28625520636122681</v>
      </c>
    </row>
    <row r="159" spans="1:5" x14ac:dyDescent="0.3">
      <c r="A159" t="s">
        <v>165</v>
      </c>
      <c r="B159" t="s">
        <v>13</v>
      </c>
      <c r="C159">
        <v>17.05</v>
      </c>
      <c r="D159">
        <v>3.86</v>
      </c>
      <c r="E159" s="2">
        <f>Portfolio_Data_ProductGroups[[#This Row],[Profit_EUR_m]]/Portfolio_Data_ProductGroups[[#This Row],[Revenue_EUR_m]]</f>
        <v>0.22639296187683283</v>
      </c>
    </row>
    <row r="160" spans="1:5" x14ac:dyDescent="0.3">
      <c r="A160" t="s">
        <v>166</v>
      </c>
      <c r="B160" t="s">
        <v>5</v>
      </c>
      <c r="C160">
        <v>44.22</v>
      </c>
      <c r="D160">
        <v>9.0299999999999994</v>
      </c>
      <c r="E160" s="2">
        <f>Portfolio_Data_ProductGroups[[#This Row],[Profit_EUR_m]]/Portfolio_Data_ProductGroups[[#This Row],[Revenue_EUR_m]]</f>
        <v>0.20420624151967434</v>
      </c>
    </row>
    <row r="161" spans="1:5" x14ac:dyDescent="0.3">
      <c r="A161" t="s">
        <v>167</v>
      </c>
      <c r="B161" t="s">
        <v>13</v>
      </c>
      <c r="C161">
        <v>8.4600000000000009</v>
      </c>
      <c r="D161">
        <v>3.32</v>
      </c>
      <c r="E161" s="2">
        <f>Portfolio_Data_ProductGroups[[#This Row],[Profit_EUR_m]]/Portfolio_Data_ProductGroups[[#This Row],[Revenue_EUR_m]]</f>
        <v>0.39243498817966899</v>
      </c>
    </row>
    <row r="162" spans="1:5" x14ac:dyDescent="0.3">
      <c r="A162" t="s">
        <v>168</v>
      </c>
      <c r="B162" t="s">
        <v>7</v>
      </c>
      <c r="C162">
        <v>12.31</v>
      </c>
      <c r="D162">
        <v>2.5</v>
      </c>
      <c r="E162" s="2">
        <f>Portfolio_Data_ProductGroups[[#This Row],[Profit_EUR_m]]/Portfolio_Data_ProductGroups[[#This Row],[Revenue_EUR_m]]</f>
        <v>0.20308692120227456</v>
      </c>
    </row>
    <row r="163" spans="1:5" x14ac:dyDescent="0.3">
      <c r="A163" t="s">
        <v>169</v>
      </c>
      <c r="B163" t="s">
        <v>9</v>
      </c>
      <c r="C163">
        <v>12.83</v>
      </c>
      <c r="D163">
        <v>3.06</v>
      </c>
      <c r="E163" s="2">
        <f>Portfolio_Data_ProductGroups[[#This Row],[Profit_EUR_m]]/Portfolio_Data_ProductGroups[[#This Row],[Revenue_EUR_m]]</f>
        <v>0.23850350740452067</v>
      </c>
    </row>
    <row r="164" spans="1:5" x14ac:dyDescent="0.3">
      <c r="A164" t="s">
        <v>170</v>
      </c>
      <c r="B164" t="s">
        <v>5</v>
      </c>
      <c r="C164">
        <v>4.24</v>
      </c>
      <c r="D164">
        <v>1.08</v>
      </c>
      <c r="E164" s="2">
        <f>Portfolio_Data_ProductGroups[[#This Row],[Profit_EUR_m]]/Portfolio_Data_ProductGroups[[#This Row],[Revenue_EUR_m]]</f>
        <v>0.25471698113207547</v>
      </c>
    </row>
    <row r="165" spans="1:5" x14ac:dyDescent="0.3">
      <c r="A165" t="s">
        <v>171</v>
      </c>
      <c r="B165" t="s">
        <v>5</v>
      </c>
      <c r="C165">
        <v>33.36</v>
      </c>
      <c r="D165">
        <v>10.14</v>
      </c>
      <c r="E165" s="2">
        <f>Portfolio_Data_ProductGroups[[#This Row],[Profit_EUR_m]]/Portfolio_Data_ProductGroups[[#This Row],[Revenue_EUR_m]]</f>
        <v>0.3039568345323741</v>
      </c>
    </row>
    <row r="166" spans="1:5" x14ac:dyDescent="0.3">
      <c r="A166" t="s">
        <v>172</v>
      </c>
      <c r="B166" t="s">
        <v>5</v>
      </c>
      <c r="C166">
        <v>53.64</v>
      </c>
      <c r="D166">
        <v>14.02</v>
      </c>
      <c r="E166" s="2">
        <f>Portfolio_Data_ProductGroups[[#This Row],[Profit_EUR_m]]/Portfolio_Data_ProductGroups[[#This Row],[Revenue_EUR_m]]</f>
        <v>0.26137211036539892</v>
      </c>
    </row>
    <row r="167" spans="1:5" x14ac:dyDescent="0.3">
      <c r="A167" t="s">
        <v>173</v>
      </c>
      <c r="B167" t="s">
        <v>13</v>
      </c>
      <c r="C167">
        <v>9.56</v>
      </c>
      <c r="D167">
        <v>4.12</v>
      </c>
      <c r="E167" s="2">
        <f>Portfolio_Data_ProductGroups[[#This Row],[Profit_EUR_m]]/Portfolio_Data_ProductGroups[[#This Row],[Revenue_EUR_m]]</f>
        <v>0.43096234309623432</v>
      </c>
    </row>
    <row r="168" spans="1:5" x14ac:dyDescent="0.3">
      <c r="A168" t="s">
        <v>174</v>
      </c>
      <c r="B168" t="s">
        <v>9</v>
      </c>
      <c r="C168">
        <v>18.350000000000001</v>
      </c>
      <c r="D168">
        <v>4.5599999999999996</v>
      </c>
      <c r="E168" s="2">
        <f>Portfolio_Data_ProductGroups[[#This Row],[Profit_EUR_m]]/Portfolio_Data_ProductGroups[[#This Row],[Revenue_EUR_m]]</f>
        <v>0.24850136239782011</v>
      </c>
    </row>
    <row r="169" spans="1:5" x14ac:dyDescent="0.3">
      <c r="A169" t="s">
        <v>175</v>
      </c>
      <c r="B169" t="s">
        <v>5</v>
      </c>
      <c r="C169">
        <v>8.8000000000000007</v>
      </c>
      <c r="D169">
        <v>2.56</v>
      </c>
      <c r="E169" s="2">
        <f>Portfolio_Data_ProductGroups[[#This Row],[Profit_EUR_m]]/Portfolio_Data_ProductGroups[[#This Row],[Revenue_EUR_m]]</f>
        <v>0.29090909090909089</v>
      </c>
    </row>
    <row r="170" spans="1:5" x14ac:dyDescent="0.3">
      <c r="A170" t="s">
        <v>176</v>
      </c>
      <c r="B170" t="s">
        <v>7</v>
      </c>
      <c r="C170">
        <v>7.16</v>
      </c>
      <c r="D170">
        <v>2.17</v>
      </c>
      <c r="E170" s="2">
        <f>Portfolio_Data_ProductGroups[[#This Row],[Profit_EUR_m]]/Portfolio_Data_ProductGroups[[#This Row],[Revenue_EUR_m]]</f>
        <v>0.30307262569832399</v>
      </c>
    </row>
    <row r="171" spans="1:5" x14ac:dyDescent="0.3">
      <c r="A171" t="s">
        <v>177</v>
      </c>
      <c r="B171" t="s">
        <v>7</v>
      </c>
      <c r="C171">
        <v>28.51</v>
      </c>
      <c r="D171">
        <v>9.27</v>
      </c>
      <c r="E171" s="2">
        <f>Portfolio_Data_ProductGroups[[#This Row],[Profit_EUR_m]]/Portfolio_Data_ProductGroups[[#This Row],[Revenue_EUR_m]]</f>
        <v>0.32514907050157837</v>
      </c>
    </row>
    <row r="172" spans="1:5" x14ac:dyDescent="0.3">
      <c r="A172" t="s">
        <v>178</v>
      </c>
      <c r="B172" t="s">
        <v>13</v>
      </c>
      <c r="C172">
        <v>4.7300000000000004</v>
      </c>
      <c r="D172">
        <v>2.0299999999999998</v>
      </c>
      <c r="E172" s="2">
        <f>Portfolio_Data_ProductGroups[[#This Row],[Profit_EUR_m]]/Portfolio_Data_ProductGroups[[#This Row],[Revenue_EUR_m]]</f>
        <v>0.42917547568710351</v>
      </c>
    </row>
    <row r="173" spans="1:5" x14ac:dyDescent="0.3">
      <c r="A173" t="s">
        <v>179</v>
      </c>
      <c r="B173" t="s">
        <v>5</v>
      </c>
      <c r="C173">
        <v>13.49</v>
      </c>
      <c r="D173">
        <v>3.28</v>
      </c>
      <c r="E173" s="2">
        <f>Portfolio_Data_ProductGroups[[#This Row],[Profit_EUR_m]]/Portfolio_Data_ProductGroups[[#This Row],[Revenue_EUR_m]]</f>
        <v>0.24314306893995549</v>
      </c>
    </row>
    <row r="174" spans="1:5" x14ac:dyDescent="0.3">
      <c r="A174" t="s">
        <v>180</v>
      </c>
      <c r="B174" t="s">
        <v>7</v>
      </c>
      <c r="C174">
        <v>7.74</v>
      </c>
      <c r="D174">
        <v>1.69</v>
      </c>
      <c r="E174" s="2">
        <f>Portfolio_Data_ProductGroups[[#This Row],[Profit_EUR_m]]/Portfolio_Data_ProductGroups[[#This Row],[Revenue_EUR_m]]</f>
        <v>0.21834625322997414</v>
      </c>
    </row>
    <row r="175" spans="1:5" x14ac:dyDescent="0.3">
      <c r="A175" t="s">
        <v>181</v>
      </c>
      <c r="B175" t="s">
        <v>7</v>
      </c>
      <c r="C175">
        <v>4.96</v>
      </c>
      <c r="D175">
        <v>1.57</v>
      </c>
      <c r="E175" s="2">
        <f>Portfolio_Data_ProductGroups[[#This Row],[Profit_EUR_m]]/Portfolio_Data_ProductGroups[[#This Row],[Revenue_EUR_m]]</f>
        <v>0.31653225806451613</v>
      </c>
    </row>
    <row r="176" spans="1:5" x14ac:dyDescent="0.3">
      <c r="A176" t="s">
        <v>182</v>
      </c>
      <c r="B176" t="s">
        <v>9</v>
      </c>
      <c r="C176">
        <v>16.73</v>
      </c>
      <c r="D176">
        <v>3.84</v>
      </c>
      <c r="E176" s="2">
        <f>Portfolio_Data_ProductGroups[[#This Row],[Profit_EUR_m]]/Portfolio_Data_ProductGroups[[#This Row],[Revenue_EUR_m]]</f>
        <v>0.22952779438135085</v>
      </c>
    </row>
    <row r="177" spans="1:5" x14ac:dyDescent="0.3">
      <c r="A177" t="s">
        <v>183</v>
      </c>
      <c r="B177" t="s">
        <v>5</v>
      </c>
      <c r="C177">
        <v>58.4</v>
      </c>
      <c r="D177">
        <v>9.1199999999999992</v>
      </c>
      <c r="E177" s="2">
        <f>Portfolio_Data_ProductGroups[[#This Row],[Profit_EUR_m]]/Portfolio_Data_ProductGroups[[#This Row],[Revenue_EUR_m]]</f>
        <v>0.15616438356164383</v>
      </c>
    </row>
    <row r="178" spans="1:5" x14ac:dyDescent="0.3">
      <c r="A178" t="s">
        <v>184</v>
      </c>
      <c r="B178" t="s">
        <v>5</v>
      </c>
      <c r="C178">
        <v>25.59</v>
      </c>
      <c r="D178">
        <v>7.27</v>
      </c>
      <c r="E178" s="2">
        <f>Portfolio_Data_ProductGroups[[#This Row],[Profit_EUR_m]]/Portfolio_Data_ProductGroups[[#This Row],[Revenue_EUR_m]]</f>
        <v>0.28409534974599454</v>
      </c>
    </row>
    <row r="179" spans="1:5" x14ac:dyDescent="0.3">
      <c r="A179" t="s">
        <v>185</v>
      </c>
      <c r="B179" t="s">
        <v>5</v>
      </c>
      <c r="C179">
        <v>8.09</v>
      </c>
      <c r="D179">
        <v>2.14</v>
      </c>
      <c r="E179" s="2">
        <f>Portfolio_Data_ProductGroups[[#This Row],[Profit_EUR_m]]/Portfolio_Data_ProductGroups[[#This Row],[Revenue_EUR_m]]</f>
        <v>0.26452410383189123</v>
      </c>
    </row>
    <row r="180" spans="1:5" x14ac:dyDescent="0.3">
      <c r="A180" t="s">
        <v>186</v>
      </c>
      <c r="B180" t="s">
        <v>9</v>
      </c>
      <c r="C180">
        <v>18.39</v>
      </c>
      <c r="D180">
        <v>4.18</v>
      </c>
      <c r="E180" s="2">
        <f>Portfolio_Data_ProductGroups[[#This Row],[Profit_EUR_m]]/Portfolio_Data_ProductGroups[[#This Row],[Revenue_EUR_m]]</f>
        <v>0.22729744426318649</v>
      </c>
    </row>
    <row r="181" spans="1:5" x14ac:dyDescent="0.3">
      <c r="A181" t="s">
        <v>187</v>
      </c>
      <c r="B181" t="s">
        <v>5</v>
      </c>
      <c r="C181">
        <v>10.88</v>
      </c>
      <c r="D181">
        <v>1.75</v>
      </c>
      <c r="E181" s="2">
        <f>Portfolio_Data_ProductGroups[[#This Row],[Profit_EUR_m]]/Portfolio_Data_ProductGroups[[#This Row],[Revenue_EUR_m]]</f>
        <v>0.1608455882352941</v>
      </c>
    </row>
    <row r="182" spans="1:5" x14ac:dyDescent="0.3">
      <c r="A182" t="s">
        <v>188</v>
      </c>
      <c r="B182" t="s">
        <v>9</v>
      </c>
      <c r="C182">
        <v>6.52</v>
      </c>
      <c r="D182">
        <v>0.52</v>
      </c>
      <c r="E182" s="2">
        <f>Portfolio_Data_ProductGroups[[#This Row],[Profit_EUR_m]]/Portfolio_Data_ProductGroups[[#This Row],[Revenue_EUR_m]]</f>
        <v>7.9754601226993876E-2</v>
      </c>
    </row>
    <row r="183" spans="1:5" x14ac:dyDescent="0.3">
      <c r="A183" t="s">
        <v>189</v>
      </c>
      <c r="B183" t="s">
        <v>7</v>
      </c>
      <c r="C183">
        <v>6.48</v>
      </c>
      <c r="D183">
        <v>1.39</v>
      </c>
      <c r="E183" s="2">
        <f>Portfolio_Data_ProductGroups[[#This Row],[Profit_EUR_m]]/Portfolio_Data_ProductGroups[[#This Row],[Revenue_EUR_m]]</f>
        <v>0.21450617283950615</v>
      </c>
    </row>
    <row r="184" spans="1:5" x14ac:dyDescent="0.3">
      <c r="A184" t="s">
        <v>190</v>
      </c>
      <c r="B184" t="s">
        <v>9</v>
      </c>
      <c r="C184">
        <v>22.29</v>
      </c>
      <c r="D184">
        <v>3.54</v>
      </c>
      <c r="E184" s="2">
        <f>Portfolio_Data_ProductGroups[[#This Row],[Profit_EUR_m]]/Portfolio_Data_ProductGroups[[#This Row],[Revenue_EUR_m]]</f>
        <v>0.15881561238223418</v>
      </c>
    </row>
    <row r="185" spans="1:5" x14ac:dyDescent="0.3">
      <c r="A185" t="s">
        <v>191</v>
      </c>
      <c r="B185" t="s">
        <v>9</v>
      </c>
      <c r="C185">
        <v>9.0399999999999991</v>
      </c>
      <c r="D185">
        <v>1.56</v>
      </c>
      <c r="E185" s="2">
        <f>Portfolio_Data_ProductGroups[[#This Row],[Profit_EUR_m]]/Portfolio_Data_ProductGroups[[#This Row],[Revenue_EUR_m]]</f>
        <v>0.17256637168141595</v>
      </c>
    </row>
    <row r="186" spans="1:5" x14ac:dyDescent="0.3">
      <c r="A186" t="s">
        <v>192</v>
      </c>
      <c r="B186" t="s">
        <v>7</v>
      </c>
      <c r="C186">
        <v>11.48</v>
      </c>
      <c r="D186">
        <v>3.23</v>
      </c>
      <c r="E186" s="2">
        <f>Portfolio_Data_ProductGroups[[#This Row],[Profit_EUR_m]]/Portfolio_Data_ProductGroups[[#This Row],[Revenue_EUR_m]]</f>
        <v>0.28135888501742157</v>
      </c>
    </row>
    <row r="187" spans="1:5" x14ac:dyDescent="0.3">
      <c r="A187" t="s">
        <v>193</v>
      </c>
      <c r="B187" t="s">
        <v>7</v>
      </c>
      <c r="C187">
        <v>34.01</v>
      </c>
      <c r="D187">
        <v>8.69</v>
      </c>
      <c r="E187" s="2">
        <f>Portfolio_Data_ProductGroups[[#This Row],[Profit_EUR_m]]/Portfolio_Data_ProductGroups[[#This Row],[Revenue_EUR_m]]</f>
        <v>0.25551308438694503</v>
      </c>
    </row>
    <row r="188" spans="1:5" x14ac:dyDescent="0.3">
      <c r="A188" t="s">
        <v>194</v>
      </c>
      <c r="B188" t="s">
        <v>7</v>
      </c>
      <c r="C188">
        <v>15.74</v>
      </c>
      <c r="D188">
        <v>4.78</v>
      </c>
      <c r="E188" s="2">
        <f>Portfolio_Data_ProductGroups[[#This Row],[Profit_EUR_m]]/Portfolio_Data_ProductGroups[[#This Row],[Revenue_EUR_m]]</f>
        <v>0.30368487928843713</v>
      </c>
    </row>
    <row r="189" spans="1:5" x14ac:dyDescent="0.3">
      <c r="A189" t="s">
        <v>195</v>
      </c>
      <c r="B189" t="s">
        <v>13</v>
      </c>
      <c r="C189">
        <v>5.12</v>
      </c>
      <c r="D189">
        <v>1.79</v>
      </c>
      <c r="E189" s="2">
        <f>Portfolio_Data_ProductGroups[[#This Row],[Profit_EUR_m]]/Portfolio_Data_ProductGroups[[#This Row],[Revenue_EUR_m]]</f>
        <v>0.349609375</v>
      </c>
    </row>
    <row r="190" spans="1:5" x14ac:dyDescent="0.3">
      <c r="A190" t="s">
        <v>196</v>
      </c>
      <c r="B190" t="s">
        <v>5</v>
      </c>
      <c r="C190">
        <v>29.12</v>
      </c>
      <c r="D190">
        <v>11.59</v>
      </c>
      <c r="E190" s="2">
        <f>Portfolio_Data_ProductGroups[[#This Row],[Profit_EUR_m]]/Portfolio_Data_ProductGroups[[#This Row],[Revenue_EUR_m]]</f>
        <v>0.39800824175824173</v>
      </c>
    </row>
    <row r="191" spans="1:5" x14ac:dyDescent="0.3">
      <c r="A191" t="s">
        <v>197</v>
      </c>
      <c r="B191" t="s">
        <v>7</v>
      </c>
      <c r="C191">
        <v>6.56</v>
      </c>
      <c r="D191">
        <v>1.73</v>
      </c>
      <c r="E191" s="2">
        <f>Portfolio_Data_ProductGroups[[#This Row],[Profit_EUR_m]]/Portfolio_Data_ProductGroups[[#This Row],[Revenue_EUR_m]]</f>
        <v>0.26371951219512196</v>
      </c>
    </row>
    <row r="192" spans="1:5" x14ac:dyDescent="0.3">
      <c r="A192" t="s">
        <v>198</v>
      </c>
      <c r="B192" t="s">
        <v>9</v>
      </c>
      <c r="C192">
        <v>15.29</v>
      </c>
      <c r="D192">
        <v>3.17</v>
      </c>
      <c r="E192" s="2">
        <f>Portfolio_Data_ProductGroups[[#This Row],[Profit_EUR_m]]/Portfolio_Data_ProductGroups[[#This Row],[Revenue_EUR_m]]</f>
        <v>0.20732504905166776</v>
      </c>
    </row>
    <row r="193" spans="1:5" x14ac:dyDescent="0.3">
      <c r="A193" t="s">
        <v>199</v>
      </c>
      <c r="B193" t="s">
        <v>7</v>
      </c>
      <c r="C193">
        <v>3.64</v>
      </c>
      <c r="D193">
        <v>1.08</v>
      </c>
      <c r="E193" s="2">
        <f>Portfolio_Data_ProductGroups[[#This Row],[Profit_EUR_m]]/Portfolio_Data_ProductGroups[[#This Row],[Revenue_EUR_m]]</f>
        <v>0.2967032967032967</v>
      </c>
    </row>
    <row r="194" spans="1:5" x14ac:dyDescent="0.3">
      <c r="A194" t="s">
        <v>200</v>
      </c>
      <c r="B194" t="s">
        <v>7</v>
      </c>
      <c r="C194">
        <v>10.119999999999999</v>
      </c>
      <c r="D194">
        <v>2.41</v>
      </c>
      <c r="E194" s="2">
        <f>Portfolio_Data_ProductGroups[[#This Row],[Profit_EUR_m]]/Portfolio_Data_ProductGroups[[#This Row],[Revenue_EUR_m]]</f>
        <v>0.23814229249011862</v>
      </c>
    </row>
    <row r="195" spans="1:5" x14ac:dyDescent="0.3">
      <c r="A195" t="s">
        <v>201</v>
      </c>
      <c r="B195" t="s">
        <v>13</v>
      </c>
      <c r="C195">
        <v>14.58</v>
      </c>
      <c r="D195">
        <v>5.52</v>
      </c>
      <c r="E195" s="2">
        <f>Portfolio_Data_ProductGroups[[#This Row],[Profit_EUR_m]]/Portfolio_Data_ProductGroups[[#This Row],[Revenue_EUR_m]]</f>
        <v>0.37860082304526743</v>
      </c>
    </row>
    <row r="196" spans="1:5" x14ac:dyDescent="0.3">
      <c r="A196" t="s">
        <v>202</v>
      </c>
      <c r="B196" t="s">
        <v>5</v>
      </c>
      <c r="C196">
        <v>86.33</v>
      </c>
      <c r="D196">
        <v>23.43</v>
      </c>
      <c r="E196" s="2">
        <f>Portfolio_Data_ProductGroups[[#This Row],[Profit_EUR_m]]/Portfolio_Data_ProductGroups[[#This Row],[Revenue_EUR_m]]</f>
        <v>0.27140044017143522</v>
      </c>
    </row>
    <row r="197" spans="1:5" x14ac:dyDescent="0.3">
      <c r="A197" t="s">
        <v>203</v>
      </c>
      <c r="B197" t="s">
        <v>5</v>
      </c>
      <c r="C197">
        <v>29.91</v>
      </c>
      <c r="D197">
        <v>4.57</v>
      </c>
      <c r="E197" s="2">
        <f>Portfolio_Data_ProductGroups[[#This Row],[Profit_EUR_m]]/Portfolio_Data_ProductGroups[[#This Row],[Revenue_EUR_m]]</f>
        <v>0.15279170845870946</v>
      </c>
    </row>
    <row r="198" spans="1:5" x14ac:dyDescent="0.3">
      <c r="A198" t="s">
        <v>204</v>
      </c>
      <c r="B198" t="s">
        <v>9</v>
      </c>
      <c r="C198">
        <v>13.04</v>
      </c>
      <c r="D198">
        <v>1.99</v>
      </c>
      <c r="E198" s="2">
        <f>Portfolio_Data_ProductGroups[[#This Row],[Profit_EUR_m]]/Portfolio_Data_ProductGroups[[#This Row],[Revenue_EUR_m]]</f>
        <v>0.15260736196319019</v>
      </c>
    </row>
    <row r="199" spans="1:5" x14ac:dyDescent="0.3">
      <c r="A199" t="s">
        <v>205</v>
      </c>
      <c r="B199" t="s">
        <v>13</v>
      </c>
      <c r="C199">
        <v>17.149999999999999</v>
      </c>
      <c r="D199">
        <v>6.8</v>
      </c>
      <c r="E199" s="2">
        <f>Portfolio_Data_ProductGroups[[#This Row],[Profit_EUR_m]]/Portfolio_Data_ProductGroups[[#This Row],[Revenue_EUR_m]]</f>
        <v>0.39650145772594753</v>
      </c>
    </row>
    <row r="200" spans="1:5" x14ac:dyDescent="0.3">
      <c r="A200" t="s">
        <v>206</v>
      </c>
      <c r="B200" t="s">
        <v>5</v>
      </c>
      <c r="C200">
        <v>50.93</v>
      </c>
      <c r="D200">
        <v>5.5</v>
      </c>
      <c r="E200" s="2">
        <f>Portfolio_Data_ProductGroups[[#This Row],[Profit_EUR_m]]/Portfolio_Data_ProductGroups[[#This Row],[Revenue_EUR_m]]</f>
        <v>0.10799136069114471</v>
      </c>
    </row>
    <row r="201" spans="1:5" x14ac:dyDescent="0.3">
      <c r="A201" t="s">
        <v>207</v>
      </c>
      <c r="B201" t="s">
        <v>9</v>
      </c>
      <c r="C201">
        <v>33.64</v>
      </c>
      <c r="D201">
        <v>8.73</v>
      </c>
      <c r="E201" s="2">
        <f>Portfolio_Data_ProductGroups[[#This Row],[Profit_EUR_m]]/Portfolio_Data_ProductGroups[[#This Row],[Revenue_EUR_m]]</f>
        <v>0.25951248513674197</v>
      </c>
    </row>
    <row r="202" spans="1:5" x14ac:dyDescent="0.3">
      <c r="A202" t="s">
        <v>208</v>
      </c>
      <c r="B202" t="s">
        <v>7</v>
      </c>
      <c r="C202">
        <v>15.29</v>
      </c>
      <c r="D202">
        <v>4.3899999999999997</v>
      </c>
      <c r="E202" s="2">
        <f>Portfolio_Data_ProductGroups[[#This Row],[Profit_EUR_m]]/Portfolio_Data_ProductGroups[[#This Row],[Revenue_EUR_m]]</f>
        <v>0.28711576193590582</v>
      </c>
    </row>
    <row r="203" spans="1:5" x14ac:dyDescent="0.3">
      <c r="A203" t="s">
        <v>209</v>
      </c>
      <c r="B203" t="s">
        <v>5</v>
      </c>
      <c r="C203">
        <v>21.23</v>
      </c>
      <c r="D203">
        <v>6.68</v>
      </c>
      <c r="E203" s="2">
        <f>Portfolio_Data_ProductGroups[[#This Row],[Profit_EUR_m]]/Portfolio_Data_ProductGroups[[#This Row],[Revenue_EUR_m]]</f>
        <v>0.31464908148845971</v>
      </c>
    </row>
    <row r="204" spans="1:5" x14ac:dyDescent="0.3">
      <c r="A204" t="s">
        <v>210</v>
      </c>
      <c r="B204" t="s">
        <v>5</v>
      </c>
      <c r="C204">
        <v>28.97</v>
      </c>
      <c r="D204">
        <v>6.31</v>
      </c>
      <c r="E204" s="2">
        <f>Portfolio_Data_ProductGroups[[#This Row],[Profit_EUR_m]]/Portfolio_Data_ProductGroups[[#This Row],[Revenue_EUR_m]]</f>
        <v>0.21781152916810492</v>
      </c>
    </row>
    <row r="205" spans="1:5" x14ac:dyDescent="0.3">
      <c r="A205" t="s">
        <v>211</v>
      </c>
      <c r="B205" t="s">
        <v>7</v>
      </c>
      <c r="C205">
        <v>14.9</v>
      </c>
      <c r="D205">
        <v>3.64</v>
      </c>
      <c r="E205" s="2">
        <f>Portfolio_Data_ProductGroups[[#This Row],[Profit_EUR_m]]/Portfolio_Data_ProductGroups[[#This Row],[Revenue_EUR_m]]</f>
        <v>0.24429530201342281</v>
      </c>
    </row>
    <row r="206" spans="1:5" x14ac:dyDescent="0.3">
      <c r="A206" t="s">
        <v>212</v>
      </c>
      <c r="B206" t="s">
        <v>5</v>
      </c>
      <c r="C206">
        <v>48.9</v>
      </c>
      <c r="D206">
        <v>7.48</v>
      </c>
      <c r="E206" s="2">
        <f>Portfolio_Data_ProductGroups[[#This Row],[Profit_EUR_m]]/Portfolio_Data_ProductGroups[[#This Row],[Revenue_EUR_m]]</f>
        <v>0.15296523517382415</v>
      </c>
    </row>
    <row r="207" spans="1:5" x14ac:dyDescent="0.3">
      <c r="A207" t="s">
        <v>213</v>
      </c>
      <c r="B207" t="s">
        <v>7</v>
      </c>
      <c r="C207">
        <v>32.630000000000003</v>
      </c>
      <c r="D207">
        <v>9.6300000000000008</v>
      </c>
      <c r="E207" s="2">
        <f>Portfolio_Data_ProductGroups[[#This Row],[Profit_EUR_m]]/Portfolio_Data_ProductGroups[[#This Row],[Revenue_EUR_m]]</f>
        <v>0.29512718357339873</v>
      </c>
    </row>
    <row r="208" spans="1:5" x14ac:dyDescent="0.3">
      <c r="A208" t="s">
        <v>214</v>
      </c>
      <c r="B208" t="s">
        <v>7</v>
      </c>
      <c r="C208">
        <v>27.62</v>
      </c>
      <c r="D208">
        <v>5.15</v>
      </c>
      <c r="E208" s="2">
        <f>Portfolio_Data_ProductGroups[[#This Row],[Profit_EUR_m]]/Portfolio_Data_ProductGroups[[#This Row],[Revenue_EUR_m]]</f>
        <v>0.18645908761766836</v>
      </c>
    </row>
    <row r="209" spans="1:5" x14ac:dyDescent="0.3">
      <c r="A209" t="s">
        <v>215</v>
      </c>
      <c r="B209" t="s">
        <v>7</v>
      </c>
      <c r="C209">
        <v>13.24</v>
      </c>
      <c r="D209">
        <v>4.42</v>
      </c>
      <c r="E209" s="2">
        <f>Portfolio_Data_ProductGroups[[#This Row],[Profit_EUR_m]]/Portfolio_Data_ProductGroups[[#This Row],[Revenue_EUR_m]]</f>
        <v>0.33383685800604229</v>
      </c>
    </row>
    <row r="210" spans="1:5" x14ac:dyDescent="0.3">
      <c r="A210" t="s">
        <v>216</v>
      </c>
      <c r="B210" t="s">
        <v>13</v>
      </c>
      <c r="C210">
        <v>4.7699999999999996</v>
      </c>
      <c r="D210">
        <v>1.88</v>
      </c>
      <c r="E210" s="2">
        <f>Portfolio_Data_ProductGroups[[#This Row],[Profit_EUR_m]]/Portfolio_Data_ProductGroups[[#This Row],[Revenue_EUR_m]]</f>
        <v>0.3941299790356394</v>
      </c>
    </row>
    <row r="211" spans="1:5" x14ac:dyDescent="0.3">
      <c r="A211" t="s">
        <v>217</v>
      </c>
      <c r="B211" t="s">
        <v>5</v>
      </c>
      <c r="C211">
        <v>29.86</v>
      </c>
      <c r="D211">
        <v>7.97</v>
      </c>
      <c r="E211" s="2">
        <f>Portfolio_Data_ProductGroups[[#This Row],[Profit_EUR_m]]/Portfolio_Data_ProductGroups[[#This Row],[Revenue_EUR_m]]</f>
        <v>0.2669122572002679</v>
      </c>
    </row>
    <row r="212" spans="1:5" x14ac:dyDescent="0.3">
      <c r="A212" t="s">
        <v>218</v>
      </c>
      <c r="B212" t="s">
        <v>9</v>
      </c>
      <c r="C212">
        <v>8.82</v>
      </c>
      <c r="D212">
        <v>2.16</v>
      </c>
      <c r="E212" s="2">
        <f>Portfolio_Data_ProductGroups[[#This Row],[Profit_EUR_m]]/Portfolio_Data_ProductGroups[[#This Row],[Revenue_EUR_m]]</f>
        <v>0.24489795918367349</v>
      </c>
    </row>
    <row r="213" spans="1:5" x14ac:dyDescent="0.3">
      <c r="A213" t="s">
        <v>219</v>
      </c>
      <c r="B213" t="s">
        <v>9</v>
      </c>
      <c r="C213">
        <v>3.69</v>
      </c>
      <c r="D213">
        <v>0.42</v>
      </c>
      <c r="E213" s="2">
        <f>Portfolio_Data_ProductGroups[[#This Row],[Profit_EUR_m]]/Portfolio_Data_ProductGroups[[#This Row],[Revenue_EUR_m]]</f>
        <v>0.11382113821138211</v>
      </c>
    </row>
    <row r="214" spans="1:5" x14ac:dyDescent="0.3">
      <c r="A214" t="s">
        <v>220</v>
      </c>
      <c r="B214" t="s">
        <v>5</v>
      </c>
      <c r="C214">
        <v>57.82</v>
      </c>
      <c r="D214">
        <v>17.57</v>
      </c>
      <c r="E214" s="2">
        <f>Portfolio_Data_ProductGroups[[#This Row],[Profit_EUR_m]]/Portfolio_Data_ProductGroups[[#This Row],[Revenue_EUR_m]]</f>
        <v>0.30387409200968524</v>
      </c>
    </row>
    <row r="215" spans="1:5" x14ac:dyDescent="0.3">
      <c r="A215" t="s">
        <v>221</v>
      </c>
      <c r="B215" t="s">
        <v>7</v>
      </c>
      <c r="C215">
        <v>11.03</v>
      </c>
      <c r="D215">
        <v>4</v>
      </c>
      <c r="E215" s="2">
        <f>Portfolio_Data_ProductGroups[[#This Row],[Profit_EUR_m]]/Portfolio_Data_ProductGroups[[#This Row],[Revenue_EUR_m]]</f>
        <v>0.36264732547597461</v>
      </c>
    </row>
    <row r="216" spans="1:5" x14ac:dyDescent="0.3">
      <c r="A216" t="s">
        <v>222</v>
      </c>
      <c r="B216" t="s">
        <v>13</v>
      </c>
      <c r="C216">
        <v>16.329999999999998</v>
      </c>
      <c r="D216">
        <v>7.59</v>
      </c>
      <c r="E216" s="2">
        <f>Portfolio_Data_ProductGroups[[#This Row],[Profit_EUR_m]]/Portfolio_Data_ProductGroups[[#This Row],[Revenue_EUR_m]]</f>
        <v>0.46478873239436624</v>
      </c>
    </row>
    <row r="217" spans="1:5" x14ac:dyDescent="0.3">
      <c r="A217" t="s">
        <v>223</v>
      </c>
      <c r="B217" t="s">
        <v>9</v>
      </c>
      <c r="C217">
        <v>7.73</v>
      </c>
      <c r="D217">
        <v>1.99</v>
      </c>
      <c r="E217" s="2">
        <f>Portfolio_Data_ProductGroups[[#This Row],[Profit_EUR_m]]/Portfolio_Data_ProductGroups[[#This Row],[Revenue_EUR_m]]</f>
        <v>0.25743855109961189</v>
      </c>
    </row>
    <row r="218" spans="1:5" x14ac:dyDescent="0.3">
      <c r="A218" t="s">
        <v>224</v>
      </c>
      <c r="B218" t="s">
        <v>5</v>
      </c>
      <c r="C218">
        <v>17.64</v>
      </c>
      <c r="D218">
        <v>4.96</v>
      </c>
      <c r="E218" s="2">
        <f>Portfolio_Data_ProductGroups[[#This Row],[Profit_EUR_m]]/Portfolio_Data_ProductGroups[[#This Row],[Revenue_EUR_m]]</f>
        <v>0.28117913832199548</v>
      </c>
    </row>
    <row r="219" spans="1:5" x14ac:dyDescent="0.3">
      <c r="A219" t="s">
        <v>225</v>
      </c>
      <c r="B219" t="s">
        <v>5</v>
      </c>
      <c r="C219">
        <v>31.26</v>
      </c>
      <c r="D219">
        <v>8.08</v>
      </c>
      <c r="E219" s="2">
        <f>Portfolio_Data_ProductGroups[[#This Row],[Profit_EUR_m]]/Portfolio_Data_ProductGroups[[#This Row],[Revenue_EUR_m]]</f>
        <v>0.25847728726807423</v>
      </c>
    </row>
    <row r="220" spans="1:5" x14ac:dyDescent="0.3">
      <c r="A220" t="s">
        <v>226</v>
      </c>
      <c r="B220" t="s">
        <v>7</v>
      </c>
      <c r="C220">
        <v>4.55</v>
      </c>
      <c r="D220">
        <v>1.22</v>
      </c>
      <c r="E220" s="2">
        <f>Portfolio_Data_ProductGroups[[#This Row],[Profit_EUR_m]]/Portfolio_Data_ProductGroups[[#This Row],[Revenue_EUR_m]]</f>
        <v>0.26813186813186812</v>
      </c>
    </row>
    <row r="221" spans="1:5" x14ac:dyDescent="0.3">
      <c r="A221" t="s">
        <v>227</v>
      </c>
      <c r="B221" t="s">
        <v>5</v>
      </c>
      <c r="C221">
        <v>35.24</v>
      </c>
      <c r="D221">
        <v>6.37</v>
      </c>
      <c r="E221" s="2">
        <f>Portfolio_Data_ProductGroups[[#This Row],[Profit_EUR_m]]/Portfolio_Data_ProductGroups[[#This Row],[Revenue_EUR_m]]</f>
        <v>0.18076049943246311</v>
      </c>
    </row>
    <row r="222" spans="1:5" x14ac:dyDescent="0.3">
      <c r="A222" t="s">
        <v>228</v>
      </c>
      <c r="B222" t="s">
        <v>13</v>
      </c>
      <c r="C222">
        <v>14.28</v>
      </c>
      <c r="D222">
        <v>7.64</v>
      </c>
      <c r="E222" s="2">
        <f>Portfolio_Data_ProductGroups[[#This Row],[Profit_EUR_m]]/Portfolio_Data_ProductGroups[[#This Row],[Revenue_EUR_m]]</f>
        <v>0.53501400560224088</v>
      </c>
    </row>
    <row r="223" spans="1:5" x14ac:dyDescent="0.3">
      <c r="A223" t="s">
        <v>229</v>
      </c>
      <c r="B223" t="s">
        <v>5</v>
      </c>
      <c r="C223">
        <v>7.95</v>
      </c>
      <c r="D223">
        <v>2.56</v>
      </c>
      <c r="E223" s="2">
        <f>Portfolio_Data_ProductGroups[[#This Row],[Profit_EUR_m]]/Portfolio_Data_ProductGroups[[#This Row],[Revenue_EUR_m]]</f>
        <v>0.32201257861635219</v>
      </c>
    </row>
    <row r="224" spans="1:5" x14ac:dyDescent="0.3">
      <c r="A224" t="s">
        <v>230</v>
      </c>
      <c r="B224" t="s">
        <v>5</v>
      </c>
      <c r="C224">
        <v>17.82</v>
      </c>
      <c r="D224">
        <v>5.63</v>
      </c>
      <c r="E224" s="2">
        <f>Portfolio_Data_ProductGroups[[#This Row],[Profit_EUR_m]]/Portfolio_Data_ProductGroups[[#This Row],[Revenue_EUR_m]]</f>
        <v>0.31593714927048261</v>
      </c>
    </row>
    <row r="225" spans="1:5" x14ac:dyDescent="0.3">
      <c r="A225" t="s">
        <v>231</v>
      </c>
      <c r="B225" t="s">
        <v>7</v>
      </c>
      <c r="C225">
        <v>20.48</v>
      </c>
      <c r="D225">
        <v>4.66</v>
      </c>
      <c r="E225" s="2">
        <f>Portfolio_Data_ProductGroups[[#This Row],[Profit_EUR_m]]/Portfolio_Data_ProductGroups[[#This Row],[Revenue_EUR_m]]</f>
        <v>0.2275390625</v>
      </c>
    </row>
    <row r="226" spans="1:5" x14ac:dyDescent="0.3">
      <c r="A226" t="s">
        <v>232</v>
      </c>
      <c r="B226" t="s">
        <v>5</v>
      </c>
      <c r="C226">
        <v>39.68</v>
      </c>
      <c r="D226">
        <v>9.36</v>
      </c>
      <c r="E226" s="2">
        <f>Portfolio_Data_ProductGroups[[#This Row],[Profit_EUR_m]]/Portfolio_Data_ProductGroups[[#This Row],[Revenue_EUR_m]]</f>
        <v>0.23588709677419353</v>
      </c>
    </row>
    <row r="227" spans="1:5" x14ac:dyDescent="0.3">
      <c r="A227" t="s">
        <v>233</v>
      </c>
      <c r="B227" t="s">
        <v>9</v>
      </c>
      <c r="C227">
        <v>19.670000000000002</v>
      </c>
      <c r="D227">
        <v>5.37</v>
      </c>
      <c r="E227" s="2">
        <f>Portfolio_Data_ProductGroups[[#This Row],[Profit_EUR_m]]/Portfolio_Data_ProductGroups[[#This Row],[Revenue_EUR_m]]</f>
        <v>0.27300457549567869</v>
      </c>
    </row>
    <row r="228" spans="1:5" x14ac:dyDescent="0.3">
      <c r="A228" t="s">
        <v>234</v>
      </c>
      <c r="B228" t="s">
        <v>5</v>
      </c>
      <c r="C228">
        <v>46.08</v>
      </c>
      <c r="D228">
        <v>12.1</v>
      </c>
      <c r="E228" s="2">
        <f>Portfolio_Data_ProductGroups[[#This Row],[Profit_EUR_m]]/Portfolio_Data_ProductGroups[[#This Row],[Revenue_EUR_m]]</f>
        <v>0.26258680555555558</v>
      </c>
    </row>
    <row r="229" spans="1:5" x14ac:dyDescent="0.3">
      <c r="A229" t="s">
        <v>235</v>
      </c>
      <c r="B229" t="s">
        <v>5</v>
      </c>
      <c r="C229">
        <v>25.78</v>
      </c>
      <c r="D229">
        <v>6.42</v>
      </c>
      <c r="E229" s="2">
        <f>Portfolio_Data_ProductGroups[[#This Row],[Profit_EUR_m]]/Portfolio_Data_ProductGroups[[#This Row],[Revenue_EUR_m]]</f>
        <v>0.24903025601241272</v>
      </c>
    </row>
    <row r="230" spans="1:5" x14ac:dyDescent="0.3">
      <c r="A230" t="s">
        <v>236</v>
      </c>
      <c r="B230" t="s">
        <v>9</v>
      </c>
      <c r="C230">
        <v>102.2</v>
      </c>
      <c r="D230">
        <v>21.93</v>
      </c>
      <c r="E230" s="2">
        <f>Portfolio_Data_ProductGroups[[#This Row],[Profit_EUR_m]]/Portfolio_Data_ProductGroups[[#This Row],[Revenue_EUR_m]]</f>
        <v>0.21457925636007827</v>
      </c>
    </row>
    <row r="231" spans="1:5" x14ac:dyDescent="0.3">
      <c r="A231" t="s">
        <v>237</v>
      </c>
      <c r="B231" t="s">
        <v>5</v>
      </c>
      <c r="C231">
        <v>62.08</v>
      </c>
      <c r="D231">
        <v>15.84</v>
      </c>
      <c r="E231" s="2">
        <f>Portfolio_Data_ProductGroups[[#This Row],[Profit_EUR_m]]/Portfolio_Data_ProductGroups[[#This Row],[Revenue_EUR_m]]</f>
        <v>0.25515463917525771</v>
      </c>
    </row>
    <row r="232" spans="1:5" x14ac:dyDescent="0.3">
      <c r="A232" t="s">
        <v>238</v>
      </c>
      <c r="B232" t="s">
        <v>5</v>
      </c>
      <c r="C232">
        <v>14.38</v>
      </c>
      <c r="D232">
        <v>3.15</v>
      </c>
      <c r="E232" s="2">
        <f>Portfolio_Data_ProductGroups[[#This Row],[Profit_EUR_m]]/Portfolio_Data_ProductGroups[[#This Row],[Revenue_EUR_m]]</f>
        <v>0.21905424200278162</v>
      </c>
    </row>
    <row r="233" spans="1:5" x14ac:dyDescent="0.3">
      <c r="A233" t="s">
        <v>239</v>
      </c>
      <c r="B233" t="s">
        <v>7</v>
      </c>
      <c r="C233">
        <v>52.96</v>
      </c>
      <c r="D233">
        <v>8.8699999999999992</v>
      </c>
      <c r="E233" s="2">
        <f>Portfolio_Data_ProductGroups[[#This Row],[Profit_EUR_m]]/Portfolio_Data_ProductGroups[[#This Row],[Revenue_EUR_m]]</f>
        <v>0.16748489425981872</v>
      </c>
    </row>
    <row r="234" spans="1:5" x14ac:dyDescent="0.3">
      <c r="A234" t="s">
        <v>240</v>
      </c>
      <c r="B234" t="s">
        <v>5</v>
      </c>
      <c r="C234">
        <v>28.13</v>
      </c>
      <c r="D234">
        <v>4.49</v>
      </c>
      <c r="E234" s="2">
        <f>Portfolio_Data_ProductGroups[[#This Row],[Profit_EUR_m]]/Portfolio_Data_ProductGroups[[#This Row],[Revenue_EUR_m]]</f>
        <v>0.15961606825453253</v>
      </c>
    </row>
    <row r="235" spans="1:5" x14ac:dyDescent="0.3">
      <c r="A235" t="s">
        <v>241</v>
      </c>
      <c r="B235" t="s">
        <v>7</v>
      </c>
      <c r="C235">
        <v>11.21</v>
      </c>
      <c r="D235">
        <v>2.42</v>
      </c>
      <c r="E235" s="2">
        <f>Portfolio_Data_ProductGroups[[#This Row],[Profit_EUR_m]]/Portfolio_Data_ProductGroups[[#This Row],[Revenue_EUR_m]]</f>
        <v>0.21587867975022298</v>
      </c>
    </row>
    <row r="236" spans="1:5" x14ac:dyDescent="0.3">
      <c r="A236" t="s">
        <v>242</v>
      </c>
      <c r="B236" t="s">
        <v>7</v>
      </c>
      <c r="C236">
        <v>32.74</v>
      </c>
      <c r="D236">
        <v>5.95</v>
      </c>
      <c r="E236" s="2">
        <f>Portfolio_Data_ProductGroups[[#This Row],[Profit_EUR_m]]/Portfolio_Data_ProductGroups[[#This Row],[Revenue_EUR_m]]</f>
        <v>0.18173488087965792</v>
      </c>
    </row>
    <row r="237" spans="1:5" x14ac:dyDescent="0.3">
      <c r="A237" t="s">
        <v>243</v>
      </c>
      <c r="B237" t="s">
        <v>5</v>
      </c>
      <c r="C237">
        <v>24.97</v>
      </c>
      <c r="D237">
        <v>6.33</v>
      </c>
      <c r="E237" s="2">
        <f>Portfolio_Data_ProductGroups[[#This Row],[Profit_EUR_m]]/Portfolio_Data_ProductGroups[[#This Row],[Revenue_EUR_m]]</f>
        <v>0.25350420504605525</v>
      </c>
    </row>
    <row r="238" spans="1:5" x14ac:dyDescent="0.3">
      <c r="A238" t="s">
        <v>244</v>
      </c>
      <c r="B238" t="s">
        <v>5</v>
      </c>
      <c r="C238">
        <v>9.75</v>
      </c>
      <c r="D238">
        <v>2.41</v>
      </c>
      <c r="E238" s="2">
        <f>Portfolio_Data_ProductGroups[[#This Row],[Profit_EUR_m]]/Portfolio_Data_ProductGroups[[#This Row],[Revenue_EUR_m]]</f>
        <v>0.24717948717948721</v>
      </c>
    </row>
    <row r="239" spans="1:5" x14ac:dyDescent="0.3">
      <c r="A239" t="s">
        <v>245</v>
      </c>
      <c r="B239" t="s">
        <v>9</v>
      </c>
      <c r="C239">
        <v>17</v>
      </c>
      <c r="D239">
        <v>4.22</v>
      </c>
      <c r="E239" s="2">
        <f>Portfolio_Data_ProductGroups[[#This Row],[Profit_EUR_m]]/Portfolio_Data_ProductGroups[[#This Row],[Revenue_EUR_m]]</f>
        <v>0.24823529411764705</v>
      </c>
    </row>
    <row r="240" spans="1:5" x14ac:dyDescent="0.3">
      <c r="A240" t="s">
        <v>246</v>
      </c>
      <c r="B240" t="s">
        <v>5</v>
      </c>
      <c r="C240">
        <v>40.04</v>
      </c>
      <c r="D240">
        <v>7.06</v>
      </c>
      <c r="E240" s="2">
        <f>Portfolio_Data_ProductGroups[[#This Row],[Profit_EUR_m]]/Portfolio_Data_ProductGroups[[#This Row],[Revenue_EUR_m]]</f>
        <v>0.17632367632367632</v>
      </c>
    </row>
    <row r="241" spans="1:5" x14ac:dyDescent="0.3">
      <c r="A241" t="s">
        <v>247</v>
      </c>
      <c r="B241" t="s">
        <v>13</v>
      </c>
      <c r="C241">
        <v>6.16</v>
      </c>
      <c r="D241">
        <v>1.29</v>
      </c>
      <c r="E241" s="2">
        <f>Portfolio_Data_ProductGroups[[#This Row],[Profit_EUR_m]]/Portfolio_Data_ProductGroups[[#This Row],[Revenue_EUR_m]]</f>
        <v>0.20941558441558442</v>
      </c>
    </row>
    <row r="242" spans="1:5" x14ac:dyDescent="0.3">
      <c r="A242" t="s">
        <v>248</v>
      </c>
      <c r="B242" t="s">
        <v>7</v>
      </c>
      <c r="C242">
        <v>3.27</v>
      </c>
      <c r="D242">
        <v>0.85</v>
      </c>
      <c r="E242" s="2">
        <f>Portfolio_Data_ProductGroups[[#This Row],[Profit_EUR_m]]/Portfolio_Data_ProductGroups[[#This Row],[Revenue_EUR_m]]</f>
        <v>0.25993883792048927</v>
      </c>
    </row>
    <row r="243" spans="1:5" x14ac:dyDescent="0.3">
      <c r="A243" t="s">
        <v>249</v>
      </c>
      <c r="B243" t="s">
        <v>7</v>
      </c>
      <c r="C243">
        <v>8.58</v>
      </c>
      <c r="D243">
        <v>2.21</v>
      </c>
      <c r="E243" s="2">
        <f>Portfolio_Data_ProductGroups[[#This Row],[Profit_EUR_m]]/Portfolio_Data_ProductGroups[[#This Row],[Revenue_EUR_m]]</f>
        <v>0.25757575757575757</v>
      </c>
    </row>
    <row r="244" spans="1:5" x14ac:dyDescent="0.3">
      <c r="A244" t="s">
        <v>250</v>
      </c>
      <c r="B244" t="s">
        <v>5</v>
      </c>
      <c r="C244">
        <v>12.43</v>
      </c>
      <c r="D244">
        <v>3.29</v>
      </c>
      <c r="E244" s="2">
        <f>Portfolio_Data_ProductGroups[[#This Row],[Profit_EUR_m]]/Portfolio_Data_ProductGroups[[#This Row],[Revenue_EUR_m]]</f>
        <v>0.26468222043443285</v>
      </c>
    </row>
    <row r="245" spans="1:5" x14ac:dyDescent="0.3">
      <c r="A245" t="s">
        <v>251</v>
      </c>
      <c r="B245" t="s">
        <v>9</v>
      </c>
      <c r="C245">
        <v>20.39</v>
      </c>
      <c r="D245">
        <v>2.58</v>
      </c>
      <c r="E245" s="2">
        <f>Portfolio_Data_ProductGroups[[#This Row],[Profit_EUR_m]]/Portfolio_Data_ProductGroups[[#This Row],[Revenue_EUR_m]]</f>
        <v>0.12653261402648358</v>
      </c>
    </row>
    <row r="246" spans="1:5" x14ac:dyDescent="0.3">
      <c r="A246" t="s">
        <v>252</v>
      </c>
      <c r="B246" t="s">
        <v>5</v>
      </c>
      <c r="C246">
        <v>9.3000000000000007</v>
      </c>
      <c r="D246">
        <v>1.69</v>
      </c>
      <c r="E246" s="2">
        <f>Portfolio_Data_ProductGroups[[#This Row],[Profit_EUR_m]]/Portfolio_Data_ProductGroups[[#This Row],[Revenue_EUR_m]]</f>
        <v>0.18172043010752686</v>
      </c>
    </row>
    <row r="247" spans="1:5" x14ac:dyDescent="0.3">
      <c r="A247" t="s">
        <v>253</v>
      </c>
      <c r="B247" t="s">
        <v>9</v>
      </c>
      <c r="C247">
        <v>36.700000000000003</v>
      </c>
      <c r="D247">
        <v>9.3000000000000007</v>
      </c>
      <c r="E247" s="2">
        <f>Portfolio_Data_ProductGroups[[#This Row],[Profit_EUR_m]]/Portfolio_Data_ProductGroups[[#This Row],[Revenue_EUR_m]]</f>
        <v>0.25340599455040874</v>
      </c>
    </row>
    <row r="248" spans="1:5" x14ac:dyDescent="0.3">
      <c r="A248" t="s">
        <v>254</v>
      </c>
      <c r="B248" t="s">
        <v>7</v>
      </c>
      <c r="C248">
        <v>32.83</v>
      </c>
      <c r="D248">
        <v>8.7899999999999991</v>
      </c>
      <c r="E248" s="2">
        <f>Portfolio_Data_ProductGroups[[#This Row],[Profit_EUR_m]]/Portfolio_Data_ProductGroups[[#This Row],[Revenue_EUR_m]]</f>
        <v>0.26774291806274747</v>
      </c>
    </row>
    <row r="249" spans="1:5" x14ac:dyDescent="0.3">
      <c r="A249" t="s">
        <v>255</v>
      </c>
      <c r="B249" t="s">
        <v>9</v>
      </c>
      <c r="C249">
        <v>10.23</v>
      </c>
      <c r="D249">
        <v>1.72</v>
      </c>
      <c r="E249" s="2">
        <f>Portfolio_Data_ProductGroups[[#This Row],[Profit_EUR_m]]/Portfolio_Data_ProductGroups[[#This Row],[Revenue_EUR_m]]</f>
        <v>0.1681329423264907</v>
      </c>
    </row>
    <row r="250" spans="1:5" x14ac:dyDescent="0.3">
      <c r="A250" t="s">
        <v>256</v>
      </c>
      <c r="B250" t="s">
        <v>9</v>
      </c>
      <c r="C250">
        <v>49.51</v>
      </c>
      <c r="D250">
        <v>11.6</v>
      </c>
      <c r="E250" s="2">
        <f>Portfolio_Data_ProductGroups[[#This Row],[Profit_EUR_m]]/Portfolio_Data_ProductGroups[[#This Row],[Revenue_EUR_m]]</f>
        <v>0.23429610179761665</v>
      </c>
    </row>
    <row r="251" spans="1:5" x14ac:dyDescent="0.3">
      <c r="A251" t="s">
        <v>257</v>
      </c>
      <c r="B251" t="s">
        <v>7</v>
      </c>
      <c r="C251">
        <v>9.66</v>
      </c>
      <c r="D251">
        <v>2.0699999999999998</v>
      </c>
      <c r="E251" s="2">
        <f>Portfolio_Data_ProductGroups[[#This Row],[Profit_EUR_m]]/Portfolio_Data_ProductGroups[[#This Row],[Revenue_EUR_m]]</f>
        <v>0.21428571428571427</v>
      </c>
    </row>
    <row r="252" spans="1:5" x14ac:dyDescent="0.3">
      <c r="A252" t="s">
        <v>258</v>
      </c>
      <c r="B252" t="s">
        <v>7</v>
      </c>
      <c r="C252">
        <v>4.66</v>
      </c>
      <c r="D252">
        <v>1.25</v>
      </c>
      <c r="E252" s="2">
        <f>Portfolio_Data_ProductGroups[[#This Row],[Profit_EUR_m]]/Portfolio_Data_ProductGroups[[#This Row],[Revenue_EUR_m]]</f>
        <v>0.26824034334763946</v>
      </c>
    </row>
    <row r="253" spans="1:5" x14ac:dyDescent="0.3">
      <c r="A253" t="s">
        <v>259</v>
      </c>
      <c r="B253" t="s">
        <v>13</v>
      </c>
      <c r="C253">
        <v>2.96</v>
      </c>
      <c r="D253">
        <v>1.21</v>
      </c>
      <c r="E253" s="2">
        <f>Portfolio_Data_ProductGroups[[#This Row],[Profit_EUR_m]]/Portfolio_Data_ProductGroups[[#This Row],[Revenue_EUR_m]]</f>
        <v>0.40878378378378377</v>
      </c>
    </row>
    <row r="254" spans="1:5" x14ac:dyDescent="0.3">
      <c r="A254" t="s">
        <v>260</v>
      </c>
      <c r="B254" t="s">
        <v>9</v>
      </c>
      <c r="C254">
        <v>7.01</v>
      </c>
      <c r="D254">
        <v>1.1499999999999999</v>
      </c>
      <c r="E254" s="2">
        <f>Portfolio_Data_ProductGroups[[#This Row],[Profit_EUR_m]]/Portfolio_Data_ProductGroups[[#This Row],[Revenue_EUR_m]]</f>
        <v>0.16405135520684735</v>
      </c>
    </row>
    <row r="255" spans="1:5" x14ac:dyDescent="0.3">
      <c r="A255" t="s">
        <v>261</v>
      </c>
      <c r="B255" t="s">
        <v>7</v>
      </c>
      <c r="C255">
        <v>10.11</v>
      </c>
      <c r="D255">
        <v>3.5</v>
      </c>
      <c r="E255" s="2">
        <f>Portfolio_Data_ProductGroups[[#This Row],[Profit_EUR_m]]/Portfolio_Data_ProductGroups[[#This Row],[Revenue_EUR_m]]</f>
        <v>0.34619188921859545</v>
      </c>
    </row>
    <row r="256" spans="1:5" x14ac:dyDescent="0.3">
      <c r="A256" t="s">
        <v>262</v>
      </c>
      <c r="B256" t="s">
        <v>5</v>
      </c>
      <c r="C256">
        <v>3.61</v>
      </c>
      <c r="D256">
        <v>0.79</v>
      </c>
      <c r="E256" s="2">
        <f>Portfolio_Data_ProductGroups[[#This Row],[Profit_EUR_m]]/Portfolio_Data_ProductGroups[[#This Row],[Revenue_EUR_m]]</f>
        <v>0.21883656509695293</v>
      </c>
    </row>
    <row r="257" spans="1:5" x14ac:dyDescent="0.3">
      <c r="A257" t="s">
        <v>263</v>
      </c>
      <c r="B257" t="s">
        <v>9</v>
      </c>
      <c r="C257">
        <v>30.53</v>
      </c>
      <c r="D257">
        <v>5.35</v>
      </c>
      <c r="E257" s="2">
        <f>Portfolio_Data_ProductGroups[[#This Row],[Profit_EUR_m]]/Portfolio_Data_ProductGroups[[#This Row],[Revenue_EUR_m]]</f>
        <v>0.17523747133966588</v>
      </c>
    </row>
    <row r="258" spans="1:5" x14ac:dyDescent="0.3">
      <c r="A258" t="s">
        <v>264</v>
      </c>
      <c r="B258" t="s">
        <v>5</v>
      </c>
      <c r="C258">
        <v>11.06</v>
      </c>
      <c r="D258">
        <v>3.2</v>
      </c>
      <c r="E258" s="2">
        <f>Portfolio_Data_ProductGroups[[#This Row],[Profit_EUR_m]]/Portfolio_Data_ProductGroups[[#This Row],[Revenue_EUR_m]]</f>
        <v>0.28933092224231466</v>
      </c>
    </row>
    <row r="259" spans="1:5" x14ac:dyDescent="0.3">
      <c r="A259" t="s">
        <v>265</v>
      </c>
      <c r="B259" t="s">
        <v>5</v>
      </c>
      <c r="C259">
        <v>34.64</v>
      </c>
      <c r="D259">
        <v>8.92</v>
      </c>
      <c r="E259" s="2">
        <f>Portfolio_Data_ProductGroups[[#This Row],[Profit_EUR_m]]/Portfolio_Data_ProductGroups[[#This Row],[Revenue_EUR_m]]</f>
        <v>0.2575057736720554</v>
      </c>
    </row>
    <row r="260" spans="1:5" x14ac:dyDescent="0.3">
      <c r="A260" t="s">
        <v>266</v>
      </c>
      <c r="B260" t="s">
        <v>5</v>
      </c>
      <c r="C260">
        <v>6.14</v>
      </c>
      <c r="D260">
        <v>1.62</v>
      </c>
      <c r="E260" s="2">
        <f>Portfolio_Data_ProductGroups[[#This Row],[Profit_EUR_m]]/Portfolio_Data_ProductGroups[[#This Row],[Revenue_EUR_m]]</f>
        <v>0.26384364820846906</v>
      </c>
    </row>
    <row r="261" spans="1:5" x14ac:dyDescent="0.3">
      <c r="A261" t="s">
        <v>267</v>
      </c>
      <c r="B261" t="s">
        <v>7</v>
      </c>
      <c r="C261">
        <v>2.75</v>
      </c>
      <c r="D261">
        <v>0.68</v>
      </c>
      <c r="E261" s="2">
        <f>Portfolio_Data_ProductGroups[[#This Row],[Profit_EUR_m]]/Portfolio_Data_ProductGroups[[#This Row],[Revenue_EUR_m]]</f>
        <v>0.24727272727272728</v>
      </c>
    </row>
    <row r="262" spans="1:5" x14ac:dyDescent="0.3">
      <c r="A262" t="s">
        <v>268</v>
      </c>
      <c r="B262" t="s">
        <v>7</v>
      </c>
      <c r="C262">
        <v>4.99</v>
      </c>
      <c r="D262">
        <v>1.43</v>
      </c>
      <c r="E262" s="2">
        <f>Portfolio_Data_ProductGroups[[#This Row],[Profit_EUR_m]]/Portfolio_Data_ProductGroups[[#This Row],[Revenue_EUR_m]]</f>
        <v>0.28657314629258512</v>
      </c>
    </row>
    <row r="263" spans="1:5" x14ac:dyDescent="0.3">
      <c r="A263" t="s">
        <v>269</v>
      </c>
      <c r="B263" t="s">
        <v>9</v>
      </c>
      <c r="C263">
        <v>89.91</v>
      </c>
      <c r="D263">
        <v>20.64</v>
      </c>
      <c r="E263" s="2">
        <f>Portfolio_Data_ProductGroups[[#This Row],[Profit_EUR_m]]/Portfolio_Data_ProductGroups[[#This Row],[Revenue_EUR_m]]</f>
        <v>0.22956289622956291</v>
      </c>
    </row>
    <row r="264" spans="1:5" x14ac:dyDescent="0.3">
      <c r="A264" t="s">
        <v>270</v>
      </c>
      <c r="B264" t="s">
        <v>5</v>
      </c>
      <c r="C264">
        <v>37.729999999999997</v>
      </c>
      <c r="D264">
        <v>9.06</v>
      </c>
      <c r="E264" s="2">
        <f>Portfolio_Data_ProductGroups[[#This Row],[Profit_EUR_m]]/Portfolio_Data_ProductGroups[[#This Row],[Revenue_EUR_m]]</f>
        <v>0.24012721971905648</v>
      </c>
    </row>
    <row r="265" spans="1:5" x14ac:dyDescent="0.3">
      <c r="A265" t="s">
        <v>271</v>
      </c>
      <c r="B265" t="s">
        <v>5</v>
      </c>
      <c r="C265">
        <v>9.9499999999999993</v>
      </c>
      <c r="D265">
        <v>3.22</v>
      </c>
      <c r="E265" s="2">
        <f>Portfolio_Data_ProductGroups[[#This Row],[Profit_EUR_m]]/Portfolio_Data_ProductGroups[[#This Row],[Revenue_EUR_m]]</f>
        <v>0.32361809045226136</v>
      </c>
    </row>
    <row r="266" spans="1:5" x14ac:dyDescent="0.3">
      <c r="A266" t="s">
        <v>272</v>
      </c>
      <c r="B266" t="s">
        <v>5</v>
      </c>
      <c r="C266">
        <v>41.28</v>
      </c>
      <c r="D266">
        <v>8.51</v>
      </c>
      <c r="E266" s="2">
        <f>Portfolio_Data_ProductGroups[[#This Row],[Profit_EUR_m]]/Portfolio_Data_ProductGroups[[#This Row],[Revenue_EUR_m]]</f>
        <v>0.20615310077519378</v>
      </c>
    </row>
    <row r="267" spans="1:5" x14ac:dyDescent="0.3">
      <c r="A267" t="s">
        <v>273</v>
      </c>
      <c r="B267" t="s">
        <v>9</v>
      </c>
      <c r="C267">
        <v>10.26</v>
      </c>
      <c r="D267">
        <v>2.64</v>
      </c>
      <c r="E267" s="2">
        <f>Portfolio_Data_ProductGroups[[#This Row],[Profit_EUR_m]]/Portfolio_Data_ProductGroups[[#This Row],[Revenue_EUR_m]]</f>
        <v>0.25730994152046788</v>
      </c>
    </row>
    <row r="268" spans="1:5" x14ac:dyDescent="0.3">
      <c r="A268" t="s">
        <v>274</v>
      </c>
      <c r="B268" t="s">
        <v>7</v>
      </c>
      <c r="C268">
        <v>18.18</v>
      </c>
      <c r="D268">
        <v>5.72</v>
      </c>
      <c r="E268" s="2">
        <f>Portfolio_Data_ProductGroups[[#This Row],[Profit_EUR_m]]/Portfolio_Data_ProductGroups[[#This Row],[Revenue_EUR_m]]</f>
        <v>0.31463146314631463</v>
      </c>
    </row>
    <row r="269" spans="1:5" x14ac:dyDescent="0.3">
      <c r="A269" t="s">
        <v>275</v>
      </c>
      <c r="B269" t="s">
        <v>5</v>
      </c>
      <c r="C269">
        <v>61.93</v>
      </c>
      <c r="D269">
        <v>15.32</v>
      </c>
      <c r="E269" s="2">
        <f>Portfolio_Data_ProductGroups[[#This Row],[Profit_EUR_m]]/Portfolio_Data_ProductGroups[[#This Row],[Revenue_EUR_m]]</f>
        <v>0.24737606975617632</v>
      </c>
    </row>
    <row r="270" spans="1:5" x14ac:dyDescent="0.3">
      <c r="A270" t="s">
        <v>276</v>
      </c>
      <c r="B270" t="s">
        <v>5</v>
      </c>
      <c r="C270">
        <v>34.1</v>
      </c>
      <c r="D270">
        <v>8.02</v>
      </c>
      <c r="E270" s="2">
        <f>Portfolio_Data_ProductGroups[[#This Row],[Profit_EUR_m]]/Portfolio_Data_ProductGroups[[#This Row],[Revenue_EUR_m]]</f>
        <v>0.23519061583577711</v>
      </c>
    </row>
    <row r="271" spans="1:5" x14ac:dyDescent="0.3">
      <c r="A271" t="s">
        <v>277</v>
      </c>
      <c r="B271" t="s">
        <v>13</v>
      </c>
      <c r="C271">
        <v>10.119999999999999</v>
      </c>
      <c r="D271">
        <v>4.33</v>
      </c>
      <c r="E271" s="2">
        <f>Portfolio_Data_ProductGroups[[#This Row],[Profit_EUR_m]]/Portfolio_Data_ProductGroups[[#This Row],[Revenue_EUR_m]]</f>
        <v>0.42786561264822137</v>
      </c>
    </row>
    <row r="272" spans="1:5" x14ac:dyDescent="0.3">
      <c r="A272" t="s">
        <v>278</v>
      </c>
      <c r="B272" t="s">
        <v>9</v>
      </c>
      <c r="C272">
        <v>8.0500000000000007</v>
      </c>
      <c r="D272">
        <v>1.1399999999999999</v>
      </c>
      <c r="E272" s="2">
        <f>Portfolio_Data_ProductGroups[[#This Row],[Profit_EUR_m]]/Portfolio_Data_ProductGroups[[#This Row],[Revenue_EUR_m]]</f>
        <v>0.1416149068322981</v>
      </c>
    </row>
    <row r="273" spans="1:5" x14ac:dyDescent="0.3">
      <c r="A273" t="s">
        <v>279</v>
      </c>
      <c r="B273" t="s">
        <v>13</v>
      </c>
      <c r="C273">
        <v>10.37</v>
      </c>
      <c r="D273">
        <v>5.44</v>
      </c>
      <c r="E273" s="2">
        <f>Portfolio_Data_ProductGroups[[#This Row],[Profit_EUR_m]]/Portfolio_Data_ProductGroups[[#This Row],[Revenue_EUR_m]]</f>
        <v>0.52459016393442626</v>
      </c>
    </row>
    <row r="274" spans="1:5" x14ac:dyDescent="0.3">
      <c r="A274" t="s">
        <v>280</v>
      </c>
      <c r="B274" t="s">
        <v>7</v>
      </c>
      <c r="C274">
        <v>2.64</v>
      </c>
      <c r="D274">
        <v>0.81</v>
      </c>
      <c r="E274" s="2">
        <f>Portfolio_Data_ProductGroups[[#This Row],[Profit_EUR_m]]/Portfolio_Data_ProductGroups[[#This Row],[Revenue_EUR_m]]</f>
        <v>0.30681818181818182</v>
      </c>
    </row>
    <row r="275" spans="1:5" x14ac:dyDescent="0.3">
      <c r="A275" t="s">
        <v>281</v>
      </c>
      <c r="B275" t="s">
        <v>7</v>
      </c>
      <c r="C275">
        <v>8.1</v>
      </c>
      <c r="D275">
        <v>1.64</v>
      </c>
      <c r="E275" s="2">
        <f>Portfolio_Data_ProductGroups[[#This Row],[Profit_EUR_m]]/Portfolio_Data_ProductGroups[[#This Row],[Revenue_EUR_m]]</f>
        <v>0.20246913580246914</v>
      </c>
    </row>
    <row r="276" spans="1:5" x14ac:dyDescent="0.3">
      <c r="A276" t="s">
        <v>282</v>
      </c>
      <c r="B276" t="s">
        <v>5</v>
      </c>
      <c r="C276">
        <v>30.87</v>
      </c>
      <c r="D276">
        <v>7.72</v>
      </c>
      <c r="E276" s="2">
        <f>Portfolio_Data_ProductGroups[[#This Row],[Profit_EUR_m]]/Portfolio_Data_ProductGroups[[#This Row],[Revenue_EUR_m]]</f>
        <v>0.25008098477486229</v>
      </c>
    </row>
    <row r="277" spans="1:5" x14ac:dyDescent="0.3">
      <c r="A277" t="s">
        <v>283</v>
      </c>
      <c r="B277" t="s">
        <v>5</v>
      </c>
      <c r="C277">
        <v>13.97</v>
      </c>
      <c r="D277">
        <v>3.81</v>
      </c>
      <c r="E277" s="2">
        <f>Portfolio_Data_ProductGroups[[#This Row],[Profit_EUR_m]]/Portfolio_Data_ProductGroups[[#This Row],[Revenue_EUR_m]]</f>
        <v>0.27272727272727271</v>
      </c>
    </row>
    <row r="278" spans="1:5" x14ac:dyDescent="0.3">
      <c r="A278" t="s">
        <v>284</v>
      </c>
      <c r="B278" t="s">
        <v>13</v>
      </c>
      <c r="C278">
        <v>4.7300000000000004</v>
      </c>
      <c r="D278">
        <v>2.14</v>
      </c>
      <c r="E278" s="2">
        <f>Portfolio_Data_ProductGroups[[#This Row],[Profit_EUR_m]]/Portfolio_Data_ProductGroups[[#This Row],[Revenue_EUR_m]]</f>
        <v>0.45243128964059193</v>
      </c>
    </row>
    <row r="279" spans="1:5" x14ac:dyDescent="0.3">
      <c r="A279" t="s">
        <v>285</v>
      </c>
      <c r="B279" t="s">
        <v>7</v>
      </c>
      <c r="C279">
        <v>10.69</v>
      </c>
      <c r="D279">
        <v>2.72</v>
      </c>
      <c r="E279" s="2">
        <f>Portfolio_Data_ProductGroups[[#This Row],[Profit_EUR_m]]/Portfolio_Data_ProductGroups[[#This Row],[Revenue_EUR_m]]</f>
        <v>0.25444340505144997</v>
      </c>
    </row>
    <row r="280" spans="1:5" x14ac:dyDescent="0.3">
      <c r="A280" t="s">
        <v>286</v>
      </c>
      <c r="B280" t="s">
        <v>9</v>
      </c>
      <c r="C280">
        <v>14.12</v>
      </c>
      <c r="D280">
        <v>3.05</v>
      </c>
      <c r="E280" s="2">
        <f>Portfolio_Data_ProductGroups[[#This Row],[Profit_EUR_m]]/Portfolio_Data_ProductGroups[[#This Row],[Revenue_EUR_m]]</f>
        <v>0.21600566572237961</v>
      </c>
    </row>
    <row r="281" spans="1:5" x14ac:dyDescent="0.3">
      <c r="A281" t="s">
        <v>287</v>
      </c>
      <c r="B281" t="s">
        <v>9</v>
      </c>
      <c r="C281">
        <v>4.9000000000000004</v>
      </c>
      <c r="D281">
        <v>1.21</v>
      </c>
      <c r="E281" s="2">
        <f>Portfolio_Data_ProductGroups[[#This Row],[Profit_EUR_m]]/Portfolio_Data_ProductGroups[[#This Row],[Revenue_EUR_m]]</f>
        <v>0.24693877551020404</v>
      </c>
    </row>
    <row r="282" spans="1:5" x14ac:dyDescent="0.3">
      <c r="A282" t="s">
        <v>288</v>
      </c>
      <c r="B282" t="s">
        <v>7</v>
      </c>
      <c r="C282">
        <v>24.6</v>
      </c>
      <c r="D282">
        <v>6.32</v>
      </c>
      <c r="E282" s="2">
        <f>Portfolio_Data_ProductGroups[[#This Row],[Profit_EUR_m]]/Portfolio_Data_ProductGroups[[#This Row],[Revenue_EUR_m]]</f>
        <v>0.25691056910569104</v>
      </c>
    </row>
    <row r="283" spans="1:5" x14ac:dyDescent="0.3">
      <c r="A283" t="s">
        <v>289</v>
      </c>
      <c r="B283" t="s">
        <v>5</v>
      </c>
      <c r="C283">
        <v>18.37</v>
      </c>
      <c r="D283">
        <v>4.46</v>
      </c>
      <c r="E283" s="2">
        <f>Portfolio_Data_ProductGroups[[#This Row],[Profit_EUR_m]]/Portfolio_Data_ProductGroups[[#This Row],[Revenue_EUR_m]]</f>
        <v>0.24278715296679368</v>
      </c>
    </row>
    <row r="284" spans="1:5" x14ac:dyDescent="0.3">
      <c r="A284" t="s">
        <v>290</v>
      </c>
      <c r="B284" t="s">
        <v>7</v>
      </c>
      <c r="C284">
        <v>33.68</v>
      </c>
      <c r="D284">
        <v>10.48</v>
      </c>
      <c r="E284" s="2">
        <f>Portfolio_Data_ProductGroups[[#This Row],[Profit_EUR_m]]/Portfolio_Data_ProductGroups[[#This Row],[Revenue_EUR_m]]</f>
        <v>0.3111638954869359</v>
      </c>
    </row>
    <row r="285" spans="1:5" x14ac:dyDescent="0.3">
      <c r="A285" t="s">
        <v>291</v>
      </c>
      <c r="B285" t="s">
        <v>7</v>
      </c>
      <c r="C285">
        <v>23.8</v>
      </c>
      <c r="D285">
        <v>6.51</v>
      </c>
      <c r="E285" s="2">
        <f>Portfolio_Data_ProductGroups[[#This Row],[Profit_EUR_m]]/Portfolio_Data_ProductGroups[[#This Row],[Revenue_EUR_m]]</f>
        <v>0.27352941176470585</v>
      </c>
    </row>
    <row r="286" spans="1:5" x14ac:dyDescent="0.3">
      <c r="A286" t="s">
        <v>292</v>
      </c>
      <c r="B286" t="s">
        <v>5</v>
      </c>
      <c r="C286">
        <v>4.8099999999999996</v>
      </c>
      <c r="D286">
        <v>0.98</v>
      </c>
      <c r="E286" s="2">
        <f>Portfolio_Data_ProductGroups[[#This Row],[Profit_EUR_m]]/Portfolio_Data_ProductGroups[[#This Row],[Revenue_EUR_m]]</f>
        <v>0.20374220374220375</v>
      </c>
    </row>
    <row r="287" spans="1:5" x14ac:dyDescent="0.3">
      <c r="A287" t="s">
        <v>293</v>
      </c>
      <c r="B287" t="s">
        <v>9</v>
      </c>
      <c r="C287">
        <v>12.03</v>
      </c>
      <c r="D287">
        <v>2.4</v>
      </c>
      <c r="E287" s="2">
        <f>Portfolio_Data_ProductGroups[[#This Row],[Profit_EUR_m]]/Portfolio_Data_ProductGroups[[#This Row],[Revenue_EUR_m]]</f>
        <v>0.19950124688279303</v>
      </c>
    </row>
    <row r="288" spans="1:5" x14ac:dyDescent="0.3">
      <c r="A288" t="s">
        <v>294</v>
      </c>
      <c r="B288" t="s">
        <v>13</v>
      </c>
      <c r="C288">
        <v>9.01</v>
      </c>
      <c r="D288">
        <v>2.67</v>
      </c>
      <c r="E288" s="2">
        <f>Portfolio_Data_ProductGroups[[#This Row],[Profit_EUR_m]]/Portfolio_Data_ProductGroups[[#This Row],[Revenue_EUR_m]]</f>
        <v>0.29633740288568255</v>
      </c>
    </row>
    <row r="289" spans="1:5" x14ac:dyDescent="0.3">
      <c r="A289" t="s">
        <v>295</v>
      </c>
      <c r="B289" t="s">
        <v>13</v>
      </c>
      <c r="C289">
        <v>5.0599999999999996</v>
      </c>
      <c r="D289">
        <v>1.7</v>
      </c>
      <c r="E289" s="2">
        <f>Portfolio_Data_ProductGroups[[#This Row],[Profit_EUR_m]]/Portfolio_Data_ProductGroups[[#This Row],[Revenue_EUR_m]]</f>
        <v>0.33596837944664032</v>
      </c>
    </row>
    <row r="290" spans="1:5" x14ac:dyDescent="0.3">
      <c r="A290" t="s">
        <v>296</v>
      </c>
      <c r="B290" t="s">
        <v>9</v>
      </c>
      <c r="C290">
        <v>5.41</v>
      </c>
      <c r="D290">
        <v>1.65</v>
      </c>
      <c r="E290" s="2">
        <f>Portfolio_Data_ProductGroups[[#This Row],[Profit_EUR_m]]/Portfolio_Data_ProductGroups[[#This Row],[Revenue_EUR_m]]</f>
        <v>0.30499075785582253</v>
      </c>
    </row>
    <row r="291" spans="1:5" x14ac:dyDescent="0.3">
      <c r="A291" t="s">
        <v>297</v>
      </c>
      <c r="B291" t="s">
        <v>5</v>
      </c>
      <c r="C291">
        <v>40.380000000000003</v>
      </c>
      <c r="D291">
        <v>7.87</v>
      </c>
      <c r="E291" s="2">
        <f>Portfolio_Data_ProductGroups[[#This Row],[Profit_EUR_m]]/Portfolio_Data_ProductGroups[[#This Row],[Revenue_EUR_m]]</f>
        <v>0.19489846458642893</v>
      </c>
    </row>
    <row r="292" spans="1:5" x14ac:dyDescent="0.3">
      <c r="A292" t="s">
        <v>298</v>
      </c>
      <c r="B292" t="s">
        <v>7</v>
      </c>
      <c r="C292">
        <v>4.63</v>
      </c>
      <c r="D292">
        <v>1.3</v>
      </c>
      <c r="E292" s="2">
        <f>Portfolio_Data_ProductGroups[[#This Row],[Profit_EUR_m]]/Portfolio_Data_ProductGroups[[#This Row],[Revenue_EUR_m]]</f>
        <v>0.28077753779697628</v>
      </c>
    </row>
    <row r="293" spans="1:5" x14ac:dyDescent="0.3">
      <c r="A293" t="s">
        <v>299</v>
      </c>
      <c r="B293" t="s">
        <v>7</v>
      </c>
      <c r="C293">
        <v>21.38</v>
      </c>
      <c r="D293">
        <v>5.18</v>
      </c>
      <c r="E293" s="2">
        <f>Portfolio_Data_ProductGroups[[#This Row],[Profit_EUR_m]]/Portfolio_Data_ProductGroups[[#This Row],[Revenue_EUR_m]]</f>
        <v>0.2422825070159027</v>
      </c>
    </row>
    <row r="294" spans="1:5" x14ac:dyDescent="0.3">
      <c r="A294" t="s">
        <v>300</v>
      </c>
      <c r="B294" t="s">
        <v>5</v>
      </c>
      <c r="C294">
        <v>2.74</v>
      </c>
      <c r="D294">
        <v>0.69</v>
      </c>
      <c r="E294" s="2">
        <f>Portfolio_Data_ProductGroups[[#This Row],[Profit_EUR_m]]/Portfolio_Data_ProductGroups[[#This Row],[Revenue_EUR_m]]</f>
        <v>0.25182481751824815</v>
      </c>
    </row>
    <row r="295" spans="1:5" x14ac:dyDescent="0.3">
      <c r="A295" t="s">
        <v>301</v>
      </c>
      <c r="B295" t="s">
        <v>9</v>
      </c>
      <c r="C295">
        <v>28.79</v>
      </c>
      <c r="D295">
        <v>9.6999999999999993</v>
      </c>
      <c r="E295" s="2">
        <f>Portfolio_Data_ProductGroups[[#This Row],[Profit_EUR_m]]/Portfolio_Data_ProductGroups[[#This Row],[Revenue_EUR_m]]</f>
        <v>0.33692254254949633</v>
      </c>
    </row>
    <row r="296" spans="1:5" x14ac:dyDescent="0.3">
      <c r="A296" t="s">
        <v>302</v>
      </c>
      <c r="B296" t="s">
        <v>7</v>
      </c>
      <c r="C296">
        <v>12</v>
      </c>
      <c r="D296">
        <v>2.87</v>
      </c>
      <c r="E296" s="2">
        <f>Portfolio_Data_ProductGroups[[#This Row],[Profit_EUR_m]]/Portfolio_Data_ProductGroups[[#This Row],[Revenue_EUR_m]]</f>
        <v>0.23916666666666667</v>
      </c>
    </row>
    <row r="297" spans="1:5" x14ac:dyDescent="0.3">
      <c r="A297" t="s">
        <v>303</v>
      </c>
      <c r="B297" t="s">
        <v>7</v>
      </c>
      <c r="C297">
        <v>18.47</v>
      </c>
      <c r="D297">
        <v>5.12</v>
      </c>
      <c r="E297" s="2">
        <f>Portfolio_Data_ProductGroups[[#This Row],[Profit_EUR_m]]/Portfolio_Data_ProductGroups[[#This Row],[Revenue_EUR_m]]</f>
        <v>0.27720628045479156</v>
      </c>
    </row>
    <row r="298" spans="1:5" x14ac:dyDescent="0.3">
      <c r="A298" t="s">
        <v>304</v>
      </c>
      <c r="B298" t="s">
        <v>9</v>
      </c>
      <c r="C298">
        <v>28.12</v>
      </c>
      <c r="D298">
        <v>5.64</v>
      </c>
      <c r="E298" s="2">
        <f>Portfolio_Data_ProductGroups[[#This Row],[Profit_EUR_m]]/Portfolio_Data_ProductGroups[[#This Row],[Revenue_EUR_m]]</f>
        <v>0.20056899004267423</v>
      </c>
    </row>
    <row r="299" spans="1:5" x14ac:dyDescent="0.3">
      <c r="A299" t="s">
        <v>305</v>
      </c>
      <c r="B299" t="s">
        <v>9</v>
      </c>
      <c r="C299">
        <v>87.77</v>
      </c>
      <c r="D299">
        <v>22.91</v>
      </c>
      <c r="E299" s="2">
        <f>Portfolio_Data_ProductGroups[[#This Row],[Profit_EUR_m]]/Portfolio_Data_ProductGroups[[#This Row],[Revenue_EUR_m]]</f>
        <v>0.26102312863165095</v>
      </c>
    </row>
    <row r="300" spans="1:5" x14ac:dyDescent="0.3">
      <c r="A300" t="s">
        <v>306</v>
      </c>
      <c r="B300" t="s">
        <v>13</v>
      </c>
      <c r="C300">
        <v>11.26</v>
      </c>
      <c r="D300">
        <v>4.8099999999999996</v>
      </c>
      <c r="E300" s="2">
        <f>Portfolio_Data_ProductGroups[[#This Row],[Profit_EUR_m]]/Portfolio_Data_ProductGroups[[#This Row],[Revenue_EUR_m]]</f>
        <v>0.42717584369449374</v>
      </c>
    </row>
    <row r="301" spans="1:5" x14ac:dyDescent="0.3">
      <c r="A301" t="s">
        <v>307</v>
      </c>
      <c r="B301" t="s">
        <v>9</v>
      </c>
      <c r="C301">
        <v>5.2</v>
      </c>
      <c r="D301">
        <v>0.78</v>
      </c>
      <c r="E301" s="2">
        <f>Portfolio_Data_ProductGroups[[#This Row],[Profit_EUR_m]]/Portfolio_Data_ProductGroups[[#This Row],[Revenue_EUR_m]]</f>
        <v>0.15</v>
      </c>
    </row>
    <row r="302" spans="1:5" x14ac:dyDescent="0.3">
      <c r="A302" t="s">
        <v>308</v>
      </c>
      <c r="B302" t="s">
        <v>13</v>
      </c>
      <c r="C302">
        <v>9.39</v>
      </c>
      <c r="D302">
        <v>4.71</v>
      </c>
      <c r="E302" s="2">
        <f>Portfolio_Data_ProductGroups[[#This Row],[Profit_EUR_m]]/Portfolio_Data_ProductGroups[[#This Row],[Revenue_EUR_m]]</f>
        <v>0.50159744408945683</v>
      </c>
    </row>
    <row r="303" spans="1:5" x14ac:dyDescent="0.3">
      <c r="A303" t="s">
        <v>309</v>
      </c>
      <c r="B303" t="s">
        <v>5</v>
      </c>
      <c r="C303">
        <v>19.82</v>
      </c>
      <c r="D303">
        <v>4.32</v>
      </c>
      <c r="E303" s="2">
        <f>Portfolio_Data_ProductGroups[[#This Row],[Profit_EUR_m]]/Portfolio_Data_ProductGroups[[#This Row],[Revenue_EUR_m]]</f>
        <v>0.21796165489404642</v>
      </c>
    </row>
    <row r="304" spans="1:5" x14ac:dyDescent="0.3">
      <c r="A304" t="s">
        <v>310</v>
      </c>
      <c r="B304" t="s">
        <v>9</v>
      </c>
      <c r="C304">
        <v>14.13</v>
      </c>
      <c r="D304">
        <v>2.84</v>
      </c>
      <c r="E304" s="2">
        <f>Portfolio_Data_ProductGroups[[#This Row],[Profit_EUR_m]]/Portfolio_Data_ProductGroups[[#This Row],[Revenue_EUR_m]]</f>
        <v>0.20099079971691436</v>
      </c>
    </row>
    <row r="305" spans="1:5" x14ac:dyDescent="0.3">
      <c r="A305" t="s">
        <v>311</v>
      </c>
      <c r="B305" t="s">
        <v>5</v>
      </c>
      <c r="C305">
        <v>10.49</v>
      </c>
      <c r="D305">
        <v>2.4500000000000002</v>
      </c>
      <c r="E305" s="2">
        <f>Portfolio_Data_ProductGroups[[#This Row],[Profit_EUR_m]]/Portfolio_Data_ProductGroups[[#This Row],[Revenue_EUR_m]]</f>
        <v>0.23355576739752146</v>
      </c>
    </row>
    <row r="306" spans="1:5" x14ac:dyDescent="0.3">
      <c r="A306" t="s">
        <v>312</v>
      </c>
      <c r="B306" t="s">
        <v>7</v>
      </c>
      <c r="C306">
        <v>6.97</v>
      </c>
      <c r="D306">
        <v>1.87</v>
      </c>
      <c r="E306" s="2">
        <f>Portfolio_Data_ProductGroups[[#This Row],[Profit_EUR_m]]/Portfolio_Data_ProductGroups[[#This Row],[Revenue_EUR_m]]</f>
        <v>0.26829268292682928</v>
      </c>
    </row>
    <row r="307" spans="1:5" x14ac:dyDescent="0.3">
      <c r="A307" t="s">
        <v>313</v>
      </c>
      <c r="B307" t="s">
        <v>7</v>
      </c>
      <c r="C307">
        <v>8.9499999999999993</v>
      </c>
      <c r="D307">
        <v>3.04</v>
      </c>
      <c r="E307" s="2">
        <f>Portfolio_Data_ProductGroups[[#This Row],[Profit_EUR_m]]/Portfolio_Data_ProductGroups[[#This Row],[Revenue_EUR_m]]</f>
        <v>0.33966480446927377</v>
      </c>
    </row>
    <row r="308" spans="1:5" x14ac:dyDescent="0.3">
      <c r="A308" t="s">
        <v>314</v>
      </c>
      <c r="B308" t="s">
        <v>5</v>
      </c>
      <c r="C308">
        <v>48.19</v>
      </c>
      <c r="D308">
        <v>13.83</v>
      </c>
      <c r="E308" s="2">
        <f>Portfolio_Data_ProductGroups[[#This Row],[Profit_EUR_m]]/Portfolio_Data_ProductGroups[[#This Row],[Revenue_EUR_m]]</f>
        <v>0.2869890018676074</v>
      </c>
    </row>
    <row r="309" spans="1:5" x14ac:dyDescent="0.3">
      <c r="A309" t="s">
        <v>315</v>
      </c>
      <c r="B309" t="s">
        <v>13</v>
      </c>
      <c r="C309">
        <v>13.91</v>
      </c>
      <c r="D309">
        <v>8.02</v>
      </c>
      <c r="E309" s="2">
        <f>Portfolio_Data_ProductGroups[[#This Row],[Profit_EUR_m]]/Portfolio_Data_ProductGroups[[#This Row],[Revenue_EUR_m]]</f>
        <v>0.57656362329259525</v>
      </c>
    </row>
    <row r="310" spans="1:5" x14ac:dyDescent="0.3">
      <c r="A310" t="s">
        <v>316</v>
      </c>
      <c r="B310" t="s">
        <v>5</v>
      </c>
      <c r="C310">
        <v>23.82</v>
      </c>
      <c r="D310">
        <v>7.49</v>
      </c>
      <c r="E310" s="2">
        <f>Portfolio_Data_ProductGroups[[#This Row],[Profit_EUR_m]]/Portfolio_Data_ProductGroups[[#This Row],[Revenue_EUR_m]]</f>
        <v>0.3144416456759026</v>
      </c>
    </row>
    <row r="311" spans="1:5" x14ac:dyDescent="0.3">
      <c r="A311" t="s">
        <v>317</v>
      </c>
      <c r="B311" t="s">
        <v>5</v>
      </c>
      <c r="C311">
        <v>15.41</v>
      </c>
      <c r="D311">
        <v>3.33</v>
      </c>
      <c r="E311" s="2">
        <f>Portfolio_Data_ProductGroups[[#This Row],[Profit_EUR_m]]/Portfolio_Data_ProductGroups[[#This Row],[Revenue_EUR_m]]</f>
        <v>0.21609344581440623</v>
      </c>
    </row>
    <row r="312" spans="1:5" x14ac:dyDescent="0.3">
      <c r="A312" t="s">
        <v>318</v>
      </c>
      <c r="B312" t="s">
        <v>7</v>
      </c>
      <c r="C312">
        <v>4.6100000000000003</v>
      </c>
      <c r="D312">
        <v>1.03</v>
      </c>
      <c r="E312" s="2">
        <f>Portfolio_Data_ProductGroups[[#This Row],[Profit_EUR_m]]/Portfolio_Data_ProductGroups[[#This Row],[Revenue_EUR_m]]</f>
        <v>0.22342733188720174</v>
      </c>
    </row>
    <row r="313" spans="1:5" x14ac:dyDescent="0.3">
      <c r="A313" t="s">
        <v>319</v>
      </c>
      <c r="B313" t="s">
        <v>7</v>
      </c>
      <c r="C313">
        <v>5.56</v>
      </c>
      <c r="D313">
        <v>2.2799999999999998</v>
      </c>
      <c r="E313" s="2">
        <f>Portfolio_Data_ProductGroups[[#This Row],[Profit_EUR_m]]/Portfolio_Data_ProductGroups[[#This Row],[Revenue_EUR_m]]</f>
        <v>0.41007194244604317</v>
      </c>
    </row>
    <row r="314" spans="1:5" x14ac:dyDescent="0.3">
      <c r="A314" t="s">
        <v>320</v>
      </c>
      <c r="B314" t="s">
        <v>13</v>
      </c>
      <c r="C314">
        <v>6.74</v>
      </c>
      <c r="D314">
        <v>2.21</v>
      </c>
      <c r="E314" s="2">
        <f>Portfolio_Data_ProductGroups[[#This Row],[Profit_EUR_m]]/Portfolio_Data_ProductGroups[[#This Row],[Revenue_EUR_m]]</f>
        <v>0.32789317507418397</v>
      </c>
    </row>
    <row r="315" spans="1:5" x14ac:dyDescent="0.3">
      <c r="A315" t="s">
        <v>321</v>
      </c>
      <c r="B315" t="s">
        <v>5</v>
      </c>
      <c r="C315">
        <v>34.74</v>
      </c>
      <c r="D315">
        <v>9.99</v>
      </c>
      <c r="E315" s="2">
        <f>Portfolio_Data_ProductGroups[[#This Row],[Profit_EUR_m]]/Portfolio_Data_ProductGroups[[#This Row],[Revenue_EUR_m]]</f>
        <v>0.28756476683937821</v>
      </c>
    </row>
    <row r="316" spans="1:5" x14ac:dyDescent="0.3">
      <c r="A316" t="s">
        <v>322</v>
      </c>
      <c r="B316" t="s">
        <v>5</v>
      </c>
      <c r="C316">
        <v>21.77</v>
      </c>
      <c r="D316">
        <v>6.41</v>
      </c>
      <c r="E316" s="2">
        <f>Portfolio_Data_ProductGroups[[#This Row],[Profit_EUR_m]]/Portfolio_Data_ProductGroups[[#This Row],[Revenue_EUR_m]]</f>
        <v>0.29444189251263209</v>
      </c>
    </row>
    <row r="317" spans="1:5" x14ac:dyDescent="0.3">
      <c r="A317" t="s">
        <v>323</v>
      </c>
      <c r="B317" t="s">
        <v>5</v>
      </c>
      <c r="C317">
        <v>58.16</v>
      </c>
      <c r="D317">
        <v>17.649999999999999</v>
      </c>
      <c r="E317" s="2">
        <f>Portfolio_Data_ProductGroups[[#This Row],[Profit_EUR_m]]/Portfolio_Data_ProductGroups[[#This Row],[Revenue_EUR_m]]</f>
        <v>0.30347317744154056</v>
      </c>
    </row>
    <row r="318" spans="1:5" x14ac:dyDescent="0.3">
      <c r="A318" t="s">
        <v>324</v>
      </c>
      <c r="B318" t="s">
        <v>7</v>
      </c>
      <c r="C318">
        <v>4.6500000000000004</v>
      </c>
      <c r="D318">
        <v>0.85</v>
      </c>
      <c r="E318" s="2">
        <f>Portfolio_Data_ProductGroups[[#This Row],[Profit_EUR_m]]/Portfolio_Data_ProductGroups[[#This Row],[Revenue_EUR_m]]</f>
        <v>0.18279569892473116</v>
      </c>
    </row>
    <row r="319" spans="1:5" x14ac:dyDescent="0.3">
      <c r="A319" t="s">
        <v>325</v>
      </c>
      <c r="B319" t="s">
        <v>5</v>
      </c>
      <c r="C319">
        <v>8.4700000000000006</v>
      </c>
      <c r="D319">
        <v>1.98</v>
      </c>
      <c r="E319" s="2">
        <f>Portfolio_Data_ProductGroups[[#This Row],[Profit_EUR_m]]/Portfolio_Data_ProductGroups[[#This Row],[Revenue_EUR_m]]</f>
        <v>0.23376623376623373</v>
      </c>
    </row>
    <row r="320" spans="1:5" x14ac:dyDescent="0.3">
      <c r="A320" t="s">
        <v>326</v>
      </c>
      <c r="B320" t="s">
        <v>5</v>
      </c>
      <c r="C320">
        <v>26.03</v>
      </c>
      <c r="D320">
        <v>5.42</v>
      </c>
      <c r="E320" s="2">
        <f>Portfolio_Data_ProductGroups[[#This Row],[Profit_EUR_m]]/Portfolio_Data_ProductGroups[[#This Row],[Revenue_EUR_m]]</f>
        <v>0.20822128313484439</v>
      </c>
    </row>
    <row r="321" spans="1:5" x14ac:dyDescent="0.3">
      <c r="A321" t="s">
        <v>327</v>
      </c>
      <c r="B321" t="s">
        <v>9</v>
      </c>
      <c r="C321">
        <v>47.34</v>
      </c>
      <c r="D321">
        <v>9.5500000000000007</v>
      </c>
      <c r="E321" s="2">
        <f>Portfolio_Data_ProductGroups[[#This Row],[Profit_EUR_m]]/Portfolio_Data_ProductGroups[[#This Row],[Revenue_EUR_m]]</f>
        <v>0.20173215040135192</v>
      </c>
    </row>
    <row r="322" spans="1:5" x14ac:dyDescent="0.3">
      <c r="A322" t="s">
        <v>328</v>
      </c>
      <c r="B322" t="s">
        <v>5</v>
      </c>
      <c r="C322">
        <v>21.06</v>
      </c>
      <c r="D322">
        <v>3.73</v>
      </c>
      <c r="E322" s="2">
        <f>Portfolio_Data_ProductGroups[[#This Row],[Profit_EUR_m]]/Portfolio_Data_ProductGroups[[#This Row],[Revenue_EUR_m]]</f>
        <v>0.17711301044634378</v>
      </c>
    </row>
    <row r="323" spans="1:5" x14ac:dyDescent="0.3">
      <c r="A323" t="s">
        <v>329</v>
      </c>
      <c r="B323" t="s">
        <v>5</v>
      </c>
      <c r="C323">
        <v>26.97</v>
      </c>
      <c r="D323">
        <v>6.99</v>
      </c>
      <c r="E323" s="2">
        <f>Portfolio_Data_ProductGroups[[#This Row],[Profit_EUR_m]]/Portfolio_Data_ProductGroups[[#This Row],[Revenue_EUR_m]]</f>
        <v>0.25917686318131261</v>
      </c>
    </row>
    <row r="324" spans="1:5" x14ac:dyDescent="0.3">
      <c r="A324" t="s">
        <v>330</v>
      </c>
      <c r="B324" t="s">
        <v>7</v>
      </c>
      <c r="C324">
        <v>24.85</v>
      </c>
      <c r="D324">
        <v>6.75</v>
      </c>
      <c r="E324" s="2">
        <f>Portfolio_Data_ProductGroups[[#This Row],[Profit_EUR_m]]/Portfolio_Data_ProductGroups[[#This Row],[Revenue_EUR_m]]</f>
        <v>0.2716297786720322</v>
      </c>
    </row>
    <row r="325" spans="1:5" x14ac:dyDescent="0.3">
      <c r="A325" t="s">
        <v>331</v>
      </c>
      <c r="B325" t="s">
        <v>7</v>
      </c>
      <c r="C325">
        <v>45.03</v>
      </c>
      <c r="D325">
        <v>14.97</v>
      </c>
      <c r="E325" s="2">
        <f>Portfolio_Data_ProductGroups[[#This Row],[Profit_EUR_m]]/Portfolio_Data_ProductGroups[[#This Row],[Revenue_EUR_m]]</f>
        <v>0.33244503664223851</v>
      </c>
    </row>
    <row r="326" spans="1:5" x14ac:dyDescent="0.3">
      <c r="A326" t="s">
        <v>332</v>
      </c>
      <c r="B326" t="s">
        <v>5</v>
      </c>
      <c r="C326">
        <v>17.32</v>
      </c>
      <c r="D326">
        <v>4.2300000000000004</v>
      </c>
      <c r="E326" s="2">
        <f>Portfolio_Data_ProductGroups[[#This Row],[Profit_EUR_m]]/Portfolio_Data_ProductGroups[[#This Row],[Revenue_EUR_m]]</f>
        <v>0.24422632794457277</v>
      </c>
    </row>
    <row r="327" spans="1:5" x14ac:dyDescent="0.3">
      <c r="A327" t="s">
        <v>333</v>
      </c>
      <c r="B327" t="s">
        <v>13</v>
      </c>
      <c r="C327">
        <v>6.35</v>
      </c>
      <c r="D327">
        <v>2.87</v>
      </c>
      <c r="E327" s="2">
        <f>Portfolio_Data_ProductGroups[[#This Row],[Profit_EUR_m]]/Portfolio_Data_ProductGroups[[#This Row],[Revenue_EUR_m]]</f>
        <v>0.45196850393700794</v>
      </c>
    </row>
    <row r="328" spans="1:5" x14ac:dyDescent="0.3">
      <c r="A328" t="s">
        <v>334</v>
      </c>
      <c r="B328" t="s">
        <v>7</v>
      </c>
      <c r="C328">
        <v>28.18</v>
      </c>
      <c r="D328">
        <v>9.4</v>
      </c>
      <c r="E328" s="2">
        <f>Portfolio_Data_ProductGroups[[#This Row],[Profit_EUR_m]]/Portfolio_Data_ProductGroups[[#This Row],[Revenue_EUR_m]]</f>
        <v>0.333569907735983</v>
      </c>
    </row>
    <row r="329" spans="1:5" x14ac:dyDescent="0.3">
      <c r="A329" t="s">
        <v>335</v>
      </c>
      <c r="B329" t="s">
        <v>7</v>
      </c>
      <c r="C329">
        <v>29.21</v>
      </c>
      <c r="D329">
        <v>9.25</v>
      </c>
      <c r="E329" s="2">
        <f>Portfolio_Data_ProductGroups[[#This Row],[Profit_EUR_m]]/Portfolio_Data_ProductGroups[[#This Row],[Revenue_EUR_m]]</f>
        <v>0.31667237247517971</v>
      </c>
    </row>
    <row r="330" spans="1:5" x14ac:dyDescent="0.3">
      <c r="A330" t="s">
        <v>336</v>
      </c>
      <c r="B330" t="s">
        <v>9</v>
      </c>
      <c r="C330">
        <v>16.149999999999999</v>
      </c>
      <c r="D330">
        <v>4.13</v>
      </c>
      <c r="E330" s="2">
        <f>Portfolio_Data_ProductGroups[[#This Row],[Profit_EUR_m]]/Portfolio_Data_ProductGroups[[#This Row],[Revenue_EUR_m]]</f>
        <v>0.25572755417956655</v>
      </c>
    </row>
    <row r="331" spans="1:5" x14ac:dyDescent="0.3">
      <c r="A331" t="s">
        <v>337</v>
      </c>
      <c r="B331" t="s">
        <v>5</v>
      </c>
      <c r="C331">
        <v>70.91</v>
      </c>
      <c r="D331">
        <v>15.81</v>
      </c>
      <c r="E331" s="2">
        <f>Portfolio_Data_ProductGroups[[#This Row],[Profit_EUR_m]]/Portfolio_Data_ProductGroups[[#This Row],[Revenue_EUR_m]]</f>
        <v>0.22295868001692287</v>
      </c>
    </row>
    <row r="332" spans="1:5" x14ac:dyDescent="0.3">
      <c r="A332" t="s">
        <v>338</v>
      </c>
      <c r="B332" t="s">
        <v>7</v>
      </c>
      <c r="C332">
        <v>12.97</v>
      </c>
      <c r="D332">
        <v>3.62</v>
      </c>
      <c r="E332" s="2">
        <f>Portfolio_Data_ProductGroups[[#This Row],[Profit_EUR_m]]/Portfolio_Data_ProductGroups[[#This Row],[Revenue_EUR_m]]</f>
        <v>0.27910562837316882</v>
      </c>
    </row>
    <row r="333" spans="1:5" x14ac:dyDescent="0.3">
      <c r="A333" t="s">
        <v>339</v>
      </c>
      <c r="B333" t="s">
        <v>9</v>
      </c>
      <c r="C333">
        <v>57.18</v>
      </c>
      <c r="D333">
        <v>14.72</v>
      </c>
      <c r="E333" s="2">
        <f>Portfolio_Data_ProductGroups[[#This Row],[Profit_EUR_m]]/Portfolio_Data_ProductGroups[[#This Row],[Revenue_EUR_m]]</f>
        <v>0.25743266876530257</v>
      </c>
    </row>
    <row r="334" spans="1:5" x14ac:dyDescent="0.3">
      <c r="A334" t="s">
        <v>340</v>
      </c>
      <c r="B334" t="s">
        <v>5</v>
      </c>
      <c r="C334">
        <v>29.22</v>
      </c>
      <c r="D334">
        <v>8.2200000000000006</v>
      </c>
      <c r="E334" s="2">
        <f>Portfolio_Data_ProductGroups[[#This Row],[Profit_EUR_m]]/Portfolio_Data_ProductGroups[[#This Row],[Revenue_EUR_m]]</f>
        <v>0.28131416837782341</v>
      </c>
    </row>
    <row r="335" spans="1:5" x14ac:dyDescent="0.3">
      <c r="A335" t="s">
        <v>341</v>
      </c>
      <c r="B335" t="s">
        <v>13</v>
      </c>
      <c r="C335">
        <v>14.39</v>
      </c>
      <c r="D335">
        <v>7.8</v>
      </c>
      <c r="E335" s="2">
        <f>Portfolio_Data_ProductGroups[[#This Row],[Profit_EUR_m]]/Portfolio_Data_ProductGroups[[#This Row],[Revenue_EUR_m]]</f>
        <v>0.54204308547602498</v>
      </c>
    </row>
    <row r="336" spans="1:5" x14ac:dyDescent="0.3">
      <c r="A336" t="s">
        <v>342</v>
      </c>
      <c r="B336" t="s">
        <v>9</v>
      </c>
      <c r="C336">
        <v>12.01</v>
      </c>
      <c r="D336">
        <v>3.01</v>
      </c>
      <c r="E336" s="2">
        <f>Portfolio_Data_ProductGroups[[#This Row],[Profit_EUR_m]]/Portfolio_Data_ProductGroups[[#This Row],[Revenue_EUR_m]]</f>
        <v>0.25062447960033302</v>
      </c>
    </row>
    <row r="337" spans="1:5" x14ac:dyDescent="0.3">
      <c r="A337" t="s">
        <v>343</v>
      </c>
      <c r="B337" t="s">
        <v>7</v>
      </c>
      <c r="C337">
        <v>21.13</v>
      </c>
      <c r="D337">
        <v>6.64</v>
      </c>
      <c r="E337" s="2">
        <f>Portfolio_Data_ProductGroups[[#This Row],[Profit_EUR_m]]/Portfolio_Data_ProductGroups[[#This Row],[Revenue_EUR_m]]</f>
        <v>0.31424514907714152</v>
      </c>
    </row>
    <row r="338" spans="1:5" x14ac:dyDescent="0.3">
      <c r="A338" t="s">
        <v>344</v>
      </c>
      <c r="B338" t="s">
        <v>5</v>
      </c>
      <c r="C338">
        <v>27.49</v>
      </c>
      <c r="D338">
        <v>6.61</v>
      </c>
      <c r="E338" s="2">
        <f>Portfolio_Data_ProductGroups[[#This Row],[Profit_EUR_m]]/Portfolio_Data_ProductGroups[[#This Row],[Revenue_EUR_m]]</f>
        <v>0.2404510731174973</v>
      </c>
    </row>
    <row r="339" spans="1:5" x14ac:dyDescent="0.3">
      <c r="A339" t="s">
        <v>345</v>
      </c>
      <c r="B339" t="s">
        <v>7</v>
      </c>
      <c r="C339">
        <v>12.92</v>
      </c>
      <c r="D339">
        <v>2.83</v>
      </c>
      <c r="E339" s="2">
        <f>Portfolio_Data_ProductGroups[[#This Row],[Profit_EUR_m]]/Portfolio_Data_ProductGroups[[#This Row],[Revenue_EUR_m]]</f>
        <v>0.21904024767801858</v>
      </c>
    </row>
    <row r="340" spans="1:5" x14ac:dyDescent="0.3">
      <c r="A340" t="s">
        <v>346</v>
      </c>
      <c r="B340" t="s">
        <v>7</v>
      </c>
      <c r="C340">
        <v>14.08</v>
      </c>
      <c r="D340">
        <v>4.75</v>
      </c>
      <c r="E340" s="2">
        <f>Portfolio_Data_ProductGroups[[#This Row],[Profit_EUR_m]]/Portfolio_Data_ProductGroups[[#This Row],[Revenue_EUR_m]]</f>
        <v>0.33735795454545453</v>
      </c>
    </row>
    <row r="341" spans="1:5" x14ac:dyDescent="0.3">
      <c r="A341" t="s">
        <v>347</v>
      </c>
      <c r="B341" t="s">
        <v>5</v>
      </c>
      <c r="C341">
        <v>42.41</v>
      </c>
      <c r="D341">
        <v>12.86</v>
      </c>
      <c r="E341" s="2">
        <f>Portfolio_Data_ProductGroups[[#This Row],[Profit_EUR_m]]/Portfolio_Data_ProductGroups[[#This Row],[Revenue_EUR_m]]</f>
        <v>0.30323037019570859</v>
      </c>
    </row>
    <row r="342" spans="1:5" x14ac:dyDescent="0.3">
      <c r="A342" t="s">
        <v>348</v>
      </c>
      <c r="B342" t="s">
        <v>9</v>
      </c>
      <c r="C342">
        <v>23.53</v>
      </c>
      <c r="D342">
        <v>3.44</v>
      </c>
      <c r="E342" s="2">
        <f>Portfolio_Data_ProductGroups[[#This Row],[Profit_EUR_m]]/Portfolio_Data_ProductGroups[[#This Row],[Revenue_EUR_m]]</f>
        <v>0.14619634509137269</v>
      </c>
    </row>
    <row r="343" spans="1:5" x14ac:dyDescent="0.3">
      <c r="A343" t="s">
        <v>349</v>
      </c>
      <c r="B343" t="s">
        <v>9</v>
      </c>
      <c r="C343">
        <v>50.6</v>
      </c>
      <c r="D343">
        <v>15.95</v>
      </c>
      <c r="E343" s="2">
        <f>Portfolio_Data_ProductGroups[[#This Row],[Profit_EUR_m]]/Portfolio_Data_ProductGroups[[#This Row],[Revenue_EUR_m]]</f>
        <v>0.31521739130434778</v>
      </c>
    </row>
    <row r="344" spans="1:5" x14ac:dyDescent="0.3">
      <c r="A344" t="s">
        <v>350</v>
      </c>
      <c r="B344" t="s">
        <v>9</v>
      </c>
      <c r="C344">
        <v>9.51</v>
      </c>
      <c r="D344">
        <v>2.19</v>
      </c>
      <c r="E344" s="2">
        <f>Portfolio_Data_ProductGroups[[#This Row],[Profit_EUR_m]]/Portfolio_Data_ProductGroups[[#This Row],[Revenue_EUR_m]]</f>
        <v>0.2302839116719243</v>
      </c>
    </row>
    <row r="345" spans="1:5" x14ac:dyDescent="0.3">
      <c r="A345" t="s">
        <v>351</v>
      </c>
      <c r="B345" t="s">
        <v>5</v>
      </c>
      <c r="C345">
        <v>48.17</v>
      </c>
      <c r="D345">
        <v>16.11</v>
      </c>
      <c r="E345" s="2">
        <f>Portfolio_Data_ProductGroups[[#This Row],[Profit_EUR_m]]/Portfolio_Data_ProductGroups[[#This Row],[Revenue_EUR_m]]</f>
        <v>0.33444052314718703</v>
      </c>
    </row>
    <row r="346" spans="1:5" x14ac:dyDescent="0.3">
      <c r="A346" t="s">
        <v>352</v>
      </c>
      <c r="B346" t="s">
        <v>9</v>
      </c>
      <c r="C346">
        <v>14.64</v>
      </c>
      <c r="D346">
        <v>2.9</v>
      </c>
      <c r="E346" s="2">
        <f>Portfolio_Data_ProductGroups[[#This Row],[Profit_EUR_m]]/Portfolio_Data_ProductGroups[[#This Row],[Revenue_EUR_m]]</f>
        <v>0.19808743169398907</v>
      </c>
    </row>
    <row r="347" spans="1:5" x14ac:dyDescent="0.3">
      <c r="A347" t="s">
        <v>353</v>
      </c>
      <c r="B347" t="s">
        <v>13</v>
      </c>
      <c r="C347">
        <v>12.61</v>
      </c>
      <c r="D347">
        <v>5.18</v>
      </c>
      <c r="E347" s="2">
        <f>Portfolio_Data_ProductGroups[[#This Row],[Profit_EUR_m]]/Portfolio_Data_ProductGroups[[#This Row],[Revenue_EUR_m]]</f>
        <v>0.41078509119746232</v>
      </c>
    </row>
    <row r="348" spans="1:5" x14ac:dyDescent="0.3">
      <c r="A348" t="s">
        <v>354</v>
      </c>
      <c r="B348" t="s">
        <v>5</v>
      </c>
      <c r="C348">
        <v>11.97</v>
      </c>
      <c r="D348">
        <v>2.4900000000000002</v>
      </c>
      <c r="E348" s="2">
        <f>Portfolio_Data_ProductGroups[[#This Row],[Profit_EUR_m]]/Portfolio_Data_ProductGroups[[#This Row],[Revenue_EUR_m]]</f>
        <v>0.2080200501253133</v>
      </c>
    </row>
    <row r="349" spans="1:5" x14ac:dyDescent="0.3">
      <c r="A349" t="s">
        <v>355</v>
      </c>
      <c r="B349" t="s">
        <v>7</v>
      </c>
      <c r="C349">
        <v>29.81</v>
      </c>
      <c r="D349">
        <v>8.48</v>
      </c>
      <c r="E349" s="2">
        <f>Portfolio_Data_ProductGroups[[#This Row],[Profit_EUR_m]]/Portfolio_Data_ProductGroups[[#This Row],[Revenue_EUR_m]]</f>
        <v>0.28446829922844685</v>
      </c>
    </row>
    <row r="350" spans="1:5" x14ac:dyDescent="0.3">
      <c r="A350" t="s">
        <v>356</v>
      </c>
      <c r="B350" t="s">
        <v>5</v>
      </c>
      <c r="C350">
        <v>25.22</v>
      </c>
      <c r="D350">
        <v>5.56</v>
      </c>
      <c r="E350" s="2">
        <f>Portfolio_Data_ProductGroups[[#This Row],[Profit_EUR_m]]/Portfolio_Data_ProductGroups[[#This Row],[Revenue_EUR_m]]</f>
        <v>0.2204599524187153</v>
      </c>
    </row>
    <row r="351" spans="1:5" x14ac:dyDescent="0.3">
      <c r="A351" t="s">
        <v>357</v>
      </c>
      <c r="B351" t="s">
        <v>7</v>
      </c>
      <c r="C351">
        <v>8.43</v>
      </c>
      <c r="D351">
        <v>2.02</v>
      </c>
      <c r="E351" s="2">
        <f>Portfolio_Data_ProductGroups[[#This Row],[Profit_EUR_m]]/Portfolio_Data_ProductGroups[[#This Row],[Revenue_EUR_m]]</f>
        <v>0.23962040332147094</v>
      </c>
    </row>
    <row r="352" spans="1:5" x14ac:dyDescent="0.3">
      <c r="A352" t="s">
        <v>358</v>
      </c>
      <c r="B352" t="s">
        <v>7</v>
      </c>
      <c r="C352">
        <v>7.5</v>
      </c>
      <c r="D352">
        <v>2.21</v>
      </c>
      <c r="E352" s="2">
        <f>Portfolio_Data_ProductGroups[[#This Row],[Profit_EUR_m]]/Portfolio_Data_ProductGroups[[#This Row],[Revenue_EUR_m]]</f>
        <v>0.29466666666666669</v>
      </c>
    </row>
    <row r="353" spans="1:5" x14ac:dyDescent="0.3">
      <c r="A353" t="s">
        <v>359</v>
      </c>
      <c r="B353" t="s">
        <v>13</v>
      </c>
      <c r="C353">
        <v>5.82</v>
      </c>
      <c r="D353">
        <v>2.57</v>
      </c>
      <c r="E353" s="2">
        <f>Portfolio_Data_ProductGroups[[#This Row],[Profit_EUR_m]]/Portfolio_Data_ProductGroups[[#This Row],[Revenue_EUR_m]]</f>
        <v>0.44158075601374563</v>
      </c>
    </row>
    <row r="354" spans="1:5" x14ac:dyDescent="0.3">
      <c r="A354" t="s">
        <v>360</v>
      </c>
      <c r="B354" t="s">
        <v>5</v>
      </c>
      <c r="C354">
        <v>42.69</v>
      </c>
      <c r="D354">
        <v>10.94</v>
      </c>
      <c r="E354" s="2">
        <f>Portfolio_Data_ProductGroups[[#This Row],[Profit_EUR_m]]/Portfolio_Data_ProductGroups[[#This Row],[Revenue_EUR_m]]</f>
        <v>0.25626610447411574</v>
      </c>
    </row>
    <row r="355" spans="1:5" x14ac:dyDescent="0.3">
      <c r="A355" t="s">
        <v>361</v>
      </c>
      <c r="B355" t="s">
        <v>5</v>
      </c>
      <c r="C355">
        <v>51.42</v>
      </c>
      <c r="D355">
        <v>7.82</v>
      </c>
      <c r="E355" s="2">
        <f>Portfolio_Data_ProductGroups[[#This Row],[Profit_EUR_m]]/Portfolio_Data_ProductGroups[[#This Row],[Revenue_EUR_m]]</f>
        <v>0.15208090237261765</v>
      </c>
    </row>
    <row r="356" spans="1:5" x14ac:dyDescent="0.3">
      <c r="A356" t="s">
        <v>362</v>
      </c>
      <c r="B356" t="s">
        <v>7</v>
      </c>
      <c r="C356">
        <v>7.03</v>
      </c>
      <c r="D356">
        <v>2.38</v>
      </c>
      <c r="E356" s="2">
        <f>Portfolio_Data_ProductGroups[[#This Row],[Profit_EUR_m]]/Portfolio_Data_ProductGroups[[#This Row],[Revenue_EUR_m]]</f>
        <v>0.33854907539118062</v>
      </c>
    </row>
    <row r="357" spans="1:5" x14ac:dyDescent="0.3">
      <c r="A357" t="s">
        <v>363</v>
      </c>
      <c r="B357" t="s">
        <v>9</v>
      </c>
      <c r="C357">
        <v>22.95</v>
      </c>
      <c r="D357">
        <v>4.47</v>
      </c>
      <c r="E357" s="2">
        <f>Portfolio_Data_ProductGroups[[#This Row],[Profit_EUR_m]]/Portfolio_Data_ProductGroups[[#This Row],[Revenue_EUR_m]]</f>
        <v>0.19477124183006536</v>
      </c>
    </row>
    <row r="358" spans="1:5" x14ac:dyDescent="0.3">
      <c r="A358" t="s">
        <v>364</v>
      </c>
      <c r="B358" t="s">
        <v>13</v>
      </c>
      <c r="C358">
        <v>26.6</v>
      </c>
      <c r="D358">
        <v>13.26</v>
      </c>
      <c r="E358" s="2">
        <f>Portfolio_Data_ProductGroups[[#This Row],[Profit_EUR_m]]/Portfolio_Data_ProductGroups[[#This Row],[Revenue_EUR_m]]</f>
        <v>0.49849624060150372</v>
      </c>
    </row>
    <row r="359" spans="1:5" x14ac:dyDescent="0.3">
      <c r="A359" t="s">
        <v>365</v>
      </c>
      <c r="B359" t="s">
        <v>5</v>
      </c>
      <c r="C359">
        <v>27.98</v>
      </c>
      <c r="D359">
        <v>8.23</v>
      </c>
      <c r="E359" s="2">
        <f>Portfolio_Data_ProductGroups[[#This Row],[Profit_EUR_m]]/Portfolio_Data_ProductGroups[[#This Row],[Revenue_EUR_m]]</f>
        <v>0.29413867047891351</v>
      </c>
    </row>
    <row r="360" spans="1:5" x14ac:dyDescent="0.3">
      <c r="A360" t="s">
        <v>366</v>
      </c>
      <c r="B360" t="s">
        <v>9</v>
      </c>
      <c r="C360">
        <v>6.48</v>
      </c>
      <c r="D360">
        <v>1.53</v>
      </c>
      <c r="E360" s="2">
        <f>Portfolio_Data_ProductGroups[[#This Row],[Profit_EUR_m]]/Portfolio_Data_ProductGroups[[#This Row],[Revenue_EUR_m]]</f>
        <v>0.2361111111111111</v>
      </c>
    </row>
    <row r="361" spans="1:5" x14ac:dyDescent="0.3">
      <c r="A361" t="s">
        <v>367</v>
      </c>
      <c r="B361" t="s">
        <v>7</v>
      </c>
      <c r="C361">
        <v>70.41</v>
      </c>
      <c r="D361">
        <v>21.96</v>
      </c>
      <c r="E361" s="2">
        <f>Portfolio_Data_ProductGroups[[#This Row],[Profit_EUR_m]]/Portfolio_Data_ProductGroups[[#This Row],[Revenue_EUR_m]]</f>
        <v>0.31188751597784409</v>
      </c>
    </row>
    <row r="362" spans="1:5" x14ac:dyDescent="0.3">
      <c r="A362" t="s">
        <v>368</v>
      </c>
      <c r="B362" t="s">
        <v>5</v>
      </c>
      <c r="C362">
        <v>7.97</v>
      </c>
      <c r="D362">
        <v>2.25</v>
      </c>
      <c r="E362" s="2">
        <f>Portfolio_Data_ProductGroups[[#This Row],[Profit_EUR_m]]/Portfolio_Data_ProductGroups[[#This Row],[Revenue_EUR_m]]</f>
        <v>0.2823086574654956</v>
      </c>
    </row>
    <row r="363" spans="1:5" x14ac:dyDescent="0.3">
      <c r="A363" t="s">
        <v>369</v>
      </c>
      <c r="B363" t="s">
        <v>7</v>
      </c>
      <c r="C363">
        <v>9.7899999999999991</v>
      </c>
      <c r="D363">
        <v>2.09</v>
      </c>
      <c r="E363" s="2">
        <f>Portfolio_Data_ProductGroups[[#This Row],[Profit_EUR_m]]/Portfolio_Data_ProductGroups[[#This Row],[Revenue_EUR_m]]</f>
        <v>0.21348314606741572</v>
      </c>
    </row>
    <row r="364" spans="1:5" x14ac:dyDescent="0.3">
      <c r="A364" t="s">
        <v>370</v>
      </c>
      <c r="B364" t="s">
        <v>13</v>
      </c>
      <c r="C364">
        <v>9.1300000000000008</v>
      </c>
      <c r="D364">
        <v>3.98</v>
      </c>
      <c r="E364" s="2">
        <f>Portfolio_Data_ProductGroups[[#This Row],[Profit_EUR_m]]/Portfolio_Data_ProductGroups[[#This Row],[Revenue_EUR_m]]</f>
        <v>0.43592552026286963</v>
      </c>
    </row>
    <row r="365" spans="1:5" x14ac:dyDescent="0.3">
      <c r="A365" t="s">
        <v>371</v>
      </c>
      <c r="B365" t="s">
        <v>5</v>
      </c>
      <c r="C365">
        <v>7.07</v>
      </c>
      <c r="D365">
        <v>1.45</v>
      </c>
      <c r="E365" s="2">
        <f>Portfolio_Data_ProductGroups[[#This Row],[Profit_EUR_m]]/Portfolio_Data_ProductGroups[[#This Row],[Revenue_EUR_m]]</f>
        <v>0.20509193776520507</v>
      </c>
    </row>
    <row r="366" spans="1:5" x14ac:dyDescent="0.3">
      <c r="A366" t="s">
        <v>372</v>
      </c>
      <c r="B366" t="s">
        <v>5</v>
      </c>
      <c r="C366">
        <v>4.5599999999999996</v>
      </c>
      <c r="D366">
        <v>1.08</v>
      </c>
      <c r="E366" s="2">
        <f>Portfolio_Data_ProductGroups[[#This Row],[Profit_EUR_m]]/Portfolio_Data_ProductGroups[[#This Row],[Revenue_EUR_m]]</f>
        <v>0.23684210526315794</v>
      </c>
    </row>
    <row r="367" spans="1:5" x14ac:dyDescent="0.3">
      <c r="A367" t="s">
        <v>373</v>
      </c>
      <c r="B367" t="s">
        <v>5</v>
      </c>
      <c r="C367">
        <v>7.54</v>
      </c>
      <c r="D367">
        <v>2.12</v>
      </c>
      <c r="E367" s="2">
        <f>Portfolio_Data_ProductGroups[[#This Row],[Profit_EUR_m]]/Portfolio_Data_ProductGroups[[#This Row],[Revenue_EUR_m]]</f>
        <v>0.28116710875331569</v>
      </c>
    </row>
    <row r="368" spans="1:5" x14ac:dyDescent="0.3">
      <c r="A368" t="s">
        <v>374</v>
      </c>
      <c r="B368" t="s">
        <v>13</v>
      </c>
      <c r="C368">
        <v>10.73</v>
      </c>
      <c r="D368">
        <v>4.3499999999999996</v>
      </c>
      <c r="E368" s="2">
        <f>Portfolio_Data_ProductGroups[[#This Row],[Profit_EUR_m]]/Portfolio_Data_ProductGroups[[#This Row],[Revenue_EUR_m]]</f>
        <v>0.40540540540540537</v>
      </c>
    </row>
    <row r="369" spans="1:5" x14ac:dyDescent="0.3">
      <c r="A369" t="s">
        <v>375</v>
      </c>
      <c r="B369" t="s">
        <v>5</v>
      </c>
      <c r="C369">
        <v>38.270000000000003</v>
      </c>
      <c r="D369">
        <v>7.29</v>
      </c>
      <c r="E369" s="2">
        <f>Portfolio_Data_ProductGroups[[#This Row],[Profit_EUR_m]]/Portfolio_Data_ProductGroups[[#This Row],[Revenue_EUR_m]]</f>
        <v>0.19048863339430361</v>
      </c>
    </row>
    <row r="370" spans="1:5" x14ac:dyDescent="0.3">
      <c r="A370" t="s">
        <v>376</v>
      </c>
      <c r="B370" t="s">
        <v>5</v>
      </c>
      <c r="C370">
        <v>4.0199999999999996</v>
      </c>
      <c r="D370">
        <v>1.19</v>
      </c>
      <c r="E370" s="2">
        <f>Portfolio_Data_ProductGroups[[#This Row],[Profit_EUR_m]]/Portfolio_Data_ProductGroups[[#This Row],[Revenue_EUR_m]]</f>
        <v>0.29601990049751248</v>
      </c>
    </row>
    <row r="371" spans="1:5" x14ac:dyDescent="0.3">
      <c r="A371" t="s">
        <v>377</v>
      </c>
      <c r="B371" t="s">
        <v>5</v>
      </c>
      <c r="C371">
        <v>16.98</v>
      </c>
      <c r="D371">
        <v>4.8499999999999996</v>
      </c>
      <c r="E371" s="2">
        <f>Portfolio_Data_ProductGroups[[#This Row],[Profit_EUR_m]]/Portfolio_Data_ProductGroups[[#This Row],[Revenue_EUR_m]]</f>
        <v>0.28563015312131917</v>
      </c>
    </row>
    <row r="372" spans="1:5" x14ac:dyDescent="0.3">
      <c r="A372" t="s">
        <v>378</v>
      </c>
      <c r="B372" t="s">
        <v>5</v>
      </c>
      <c r="C372">
        <v>35.270000000000003</v>
      </c>
      <c r="D372">
        <v>9.59</v>
      </c>
      <c r="E372" s="2">
        <f>Portfolio_Data_ProductGroups[[#This Row],[Profit_EUR_m]]/Portfolio_Data_ProductGroups[[#This Row],[Revenue_EUR_m]]</f>
        <v>0.27190246668556844</v>
      </c>
    </row>
    <row r="373" spans="1:5" x14ac:dyDescent="0.3">
      <c r="A373" t="s">
        <v>379</v>
      </c>
      <c r="B373" t="s">
        <v>5</v>
      </c>
      <c r="C373">
        <v>45.68</v>
      </c>
      <c r="D373">
        <v>5.86</v>
      </c>
      <c r="E373" s="2">
        <f>Portfolio_Data_ProductGroups[[#This Row],[Profit_EUR_m]]/Portfolio_Data_ProductGroups[[#This Row],[Revenue_EUR_m]]</f>
        <v>0.12828371278458844</v>
      </c>
    </row>
    <row r="374" spans="1:5" x14ac:dyDescent="0.3">
      <c r="A374" t="s">
        <v>380</v>
      </c>
      <c r="B374" t="s">
        <v>9</v>
      </c>
      <c r="C374">
        <v>13.28</v>
      </c>
      <c r="D374">
        <v>3.9</v>
      </c>
      <c r="E374" s="2">
        <f>Portfolio_Data_ProductGroups[[#This Row],[Profit_EUR_m]]/Portfolio_Data_ProductGroups[[#This Row],[Revenue_EUR_m]]</f>
        <v>0.29367469879518071</v>
      </c>
    </row>
    <row r="375" spans="1:5" x14ac:dyDescent="0.3">
      <c r="A375" t="s">
        <v>381</v>
      </c>
      <c r="B375" t="s">
        <v>7</v>
      </c>
      <c r="C375">
        <v>7.54</v>
      </c>
      <c r="D375">
        <v>2.13</v>
      </c>
      <c r="E375" s="2">
        <f>Portfolio_Data_ProductGroups[[#This Row],[Profit_EUR_m]]/Portfolio_Data_ProductGroups[[#This Row],[Revenue_EUR_m]]</f>
        <v>0.28249336870026526</v>
      </c>
    </row>
    <row r="376" spans="1:5" x14ac:dyDescent="0.3">
      <c r="A376" t="s">
        <v>382</v>
      </c>
      <c r="B376" t="s">
        <v>9</v>
      </c>
      <c r="C376">
        <v>17.829999999999998</v>
      </c>
      <c r="D376">
        <v>5.16</v>
      </c>
      <c r="E376" s="2">
        <f>Portfolio_Data_ProductGroups[[#This Row],[Profit_EUR_m]]/Portfolio_Data_ProductGroups[[#This Row],[Revenue_EUR_m]]</f>
        <v>0.28939988782950088</v>
      </c>
    </row>
    <row r="377" spans="1:5" x14ac:dyDescent="0.3">
      <c r="A377" t="s">
        <v>383</v>
      </c>
      <c r="B377" t="s">
        <v>9</v>
      </c>
      <c r="C377">
        <v>4.55</v>
      </c>
      <c r="D377">
        <v>0.73</v>
      </c>
      <c r="E377" s="2">
        <f>Portfolio_Data_ProductGroups[[#This Row],[Profit_EUR_m]]/Portfolio_Data_ProductGroups[[#This Row],[Revenue_EUR_m]]</f>
        <v>0.16043956043956045</v>
      </c>
    </row>
    <row r="378" spans="1:5" x14ac:dyDescent="0.3">
      <c r="A378" t="s">
        <v>384</v>
      </c>
      <c r="B378" t="s">
        <v>9</v>
      </c>
      <c r="C378">
        <v>3.93</v>
      </c>
      <c r="D378">
        <v>0.65</v>
      </c>
      <c r="E378" s="2">
        <f>Portfolio_Data_ProductGroups[[#This Row],[Profit_EUR_m]]/Portfolio_Data_ProductGroups[[#This Row],[Revenue_EUR_m]]</f>
        <v>0.16539440203562342</v>
      </c>
    </row>
    <row r="379" spans="1:5" x14ac:dyDescent="0.3">
      <c r="A379" t="s">
        <v>385</v>
      </c>
      <c r="B379" t="s">
        <v>5</v>
      </c>
      <c r="C379">
        <v>13.09</v>
      </c>
      <c r="D379">
        <v>3.24</v>
      </c>
      <c r="E379" s="2">
        <f>Portfolio_Data_ProductGroups[[#This Row],[Profit_EUR_m]]/Portfolio_Data_ProductGroups[[#This Row],[Revenue_EUR_m]]</f>
        <v>0.2475171886936593</v>
      </c>
    </row>
    <row r="380" spans="1:5" x14ac:dyDescent="0.3">
      <c r="A380" t="s">
        <v>386</v>
      </c>
      <c r="B380" t="s">
        <v>5</v>
      </c>
      <c r="C380">
        <v>40.04</v>
      </c>
      <c r="D380">
        <v>9.69</v>
      </c>
      <c r="E380" s="2">
        <f>Portfolio_Data_ProductGroups[[#This Row],[Profit_EUR_m]]/Portfolio_Data_ProductGroups[[#This Row],[Revenue_EUR_m]]</f>
        <v>0.242007992007992</v>
      </c>
    </row>
    <row r="381" spans="1:5" x14ac:dyDescent="0.3">
      <c r="A381" t="s">
        <v>387</v>
      </c>
      <c r="B381" t="s">
        <v>9</v>
      </c>
      <c r="C381">
        <v>35.11</v>
      </c>
      <c r="D381">
        <v>8.01</v>
      </c>
      <c r="E381" s="2">
        <f>Portfolio_Data_ProductGroups[[#This Row],[Profit_EUR_m]]/Portfolio_Data_ProductGroups[[#This Row],[Revenue_EUR_m]]</f>
        <v>0.22814013101680433</v>
      </c>
    </row>
    <row r="382" spans="1:5" x14ac:dyDescent="0.3">
      <c r="A382" t="s">
        <v>388</v>
      </c>
      <c r="B382" t="s">
        <v>7</v>
      </c>
      <c r="C382">
        <v>24.1</v>
      </c>
      <c r="D382">
        <v>8.5299999999999994</v>
      </c>
      <c r="E382" s="2">
        <f>Portfolio_Data_ProductGroups[[#This Row],[Profit_EUR_m]]/Portfolio_Data_ProductGroups[[#This Row],[Revenue_EUR_m]]</f>
        <v>0.35394190871369291</v>
      </c>
    </row>
    <row r="383" spans="1:5" x14ac:dyDescent="0.3">
      <c r="A383" t="s">
        <v>389</v>
      </c>
      <c r="B383" t="s">
        <v>9</v>
      </c>
      <c r="C383">
        <v>12.73</v>
      </c>
      <c r="D383">
        <v>2.59</v>
      </c>
      <c r="E383" s="2">
        <f>Portfolio_Data_ProductGroups[[#This Row],[Profit_EUR_m]]/Portfolio_Data_ProductGroups[[#This Row],[Revenue_EUR_m]]</f>
        <v>0.20345640219952865</v>
      </c>
    </row>
    <row r="384" spans="1:5" x14ac:dyDescent="0.3">
      <c r="A384" t="s">
        <v>390</v>
      </c>
      <c r="B384" t="s">
        <v>5</v>
      </c>
      <c r="C384">
        <v>23.5</v>
      </c>
      <c r="D384">
        <v>4.9400000000000004</v>
      </c>
      <c r="E384" s="2">
        <f>Portfolio_Data_ProductGroups[[#This Row],[Profit_EUR_m]]/Portfolio_Data_ProductGroups[[#This Row],[Revenue_EUR_m]]</f>
        <v>0.21021276595744681</v>
      </c>
    </row>
    <row r="385" spans="1:5" x14ac:dyDescent="0.3">
      <c r="A385" t="s">
        <v>391</v>
      </c>
      <c r="B385" t="s">
        <v>7</v>
      </c>
      <c r="C385">
        <v>39.590000000000003</v>
      </c>
      <c r="D385">
        <v>6.45</v>
      </c>
      <c r="E385" s="2">
        <f>Portfolio_Data_ProductGroups[[#This Row],[Profit_EUR_m]]/Portfolio_Data_ProductGroups[[#This Row],[Revenue_EUR_m]]</f>
        <v>0.16291992927506946</v>
      </c>
    </row>
    <row r="386" spans="1:5" x14ac:dyDescent="0.3">
      <c r="A386" t="s">
        <v>392</v>
      </c>
      <c r="B386" t="s">
        <v>5</v>
      </c>
      <c r="C386">
        <v>17.760000000000002</v>
      </c>
      <c r="D386">
        <v>3.14</v>
      </c>
      <c r="E386" s="2">
        <f>Portfolio_Data_ProductGroups[[#This Row],[Profit_EUR_m]]/Portfolio_Data_ProductGroups[[#This Row],[Revenue_EUR_m]]</f>
        <v>0.1768018018018018</v>
      </c>
    </row>
    <row r="387" spans="1:5" x14ac:dyDescent="0.3">
      <c r="A387" t="s">
        <v>393</v>
      </c>
      <c r="B387" t="s">
        <v>9</v>
      </c>
      <c r="C387">
        <v>29.49</v>
      </c>
      <c r="D387">
        <v>6.59</v>
      </c>
      <c r="E387" s="2">
        <f>Portfolio_Data_ProductGroups[[#This Row],[Profit_EUR_m]]/Portfolio_Data_ProductGroups[[#This Row],[Revenue_EUR_m]]</f>
        <v>0.22346558155306884</v>
      </c>
    </row>
    <row r="388" spans="1:5" x14ac:dyDescent="0.3">
      <c r="A388" t="s">
        <v>394</v>
      </c>
      <c r="B388" t="s">
        <v>5</v>
      </c>
      <c r="C388">
        <v>12.06</v>
      </c>
      <c r="D388">
        <v>4.12</v>
      </c>
      <c r="E388" s="2">
        <f>Portfolio_Data_ProductGroups[[#This Row],[Profit_EUR_m]]/Portfolio_Data_ProductGroups[[#This Row],[Revenue_EUR_m]]</f>
        <v>0.34162520729684909</v>
      </c>
    </row>
    <row r="389" spans="1:5" x14ac:dyDescent="0.3">
      <c r="A389" t="s">
        <v>395</v>
      </c>
      <c r="B389" t="s">
        <v>7</v>
      </c>
      <c r="C389">
        <v>27.75</v>
      </c>
      <c r="D389">
        <v>8.5399999999999991</v>
      </c>
      <c r="E389" s="2">
        <f>Portfolio_Data_ProductGroups[[#This Row],[Profit_EUR_m]]/Portfolio_Data_ProductGroups[[#This Row],[Revenue_EUR_m]]</f>
        <v>0.30774774774774771</v>
      </c>
    </row>
    <row r="390" spans="1:5" x14ac:dyDescent="0.3">
      <c r="A390" t="s">
        <v>396</v>
      </c>
      <c r="B390" t="s">
        <v>13</v>
      </c>
      <c r="C390">
        <v>6.91</v>
      </c>
      <c r="D390">
        <v>3.3</v>
      </c>
      <c r="E390" s="2">
        <f>Portfolio_Data_ProductGroups[[#This Row],[Profit_EUR_m]]/Portfolio_Data_ProductGroups[[#This Row],[Revenue_EUR_m]]</f>
        <v>0.47756874095513746</v>
      </c>
    </row>
    <row r="391" spans="1:5" x14ac:dyDescent="0.3">
      <c r="A391" t="s">
        <v>397</v>
      </c>
      <c r="B391" t="s">
        <v>9</v>
      </c>
      <c r="C391">
        <v>29.17</v>
      </c>
      <c r="D391">
        <v>7.66</v>
      </c>
      <c r="E391" s="2">
        <f>Portfolio_Data_ProductGroups[[#This Row],[Profit_EUR_m]]/Portfolio_Data_ProductGroups[[#This Row],[Revenue_EUR_m]]</f>
        <v>0.26259856016455263</v>
      </c>
    </row>
    <row r="392" spans="1:5" x14ac:dyDescent="0.3">
      <c r="A392" t="s">
        <v>398</v>
      </c>
      <c r="B392" t="s">
        <v>13</v>
      </c>
      <c r="C392">
        <v>8.4</v>
      </c>
      <c r="D392">
        <v>3.77</v>
      </c>
      <c r="E392" s="2">
        <f>Portfolio_Data_ProductGroups[[#This Row],[Profit_EUR_m]]/Portfolio_Data_ProductGroups[[#This Row],[Revenue_EUR_m]]</f>
        <v>0.44880952380952377</v>
      </c>
    </row>
    <row r="393" spans="1:5" x14ac:dyDescent="0.3">
      <c r="A393" t="s">
        <v>399</v>
      </c>
      <c r="B393" t="s">
        <v>7</v>
      </c>
      <c r="C393">
        <v>25.26</v>
      </c>
      <c r="D393">
        <v>5.45</v>
      </c>
      <c r="E393" s="2">
        <f>Portfolio_Data_ProductGroups[[#This Row],[Profit_EUR_m]]/Portfolio_Data_ProductGroups[[#This Row],[Revenue_EUR_m]]</f>
        <v>0.21575613618368963</v>
      </c>
    </row>
    <row r="394" spans="1:5" x14ac:dyDescent="0.3">
      <c r="A394" t="s">
        <v>400</v>
      </c>
      <c r="B394" t="s">
        <v>5</v>
      </c>
      <c r="C394">
        <v>50.21</v>
      </c>
      <c r="D394">
        <v>8.98</v>
      </c>
      <c r="E394" s="2">
        <f>Portfolio_Data_ProductGroups[[#This Row],[Profit_EUR_m]]/Portfolio_Data_ProductGroups[[#This Row],[Revenue_EUR_m]]</f>
        <v>0.17884883489344752</v>
      </c>
    </row>
    <row r="395" spans="1:5" x14ac:dyDescent="0.3">
      <c r="A395" t="s">
        <v>401</v>
      </c>
      <c r="B395" t="s">
        <v>5</v>
      </c>
      <c r="C395">
        <v>11.13</v>
      </c>
      <c r="D395">
        <v>2.54</v>
      </c>
      <c r="E395" s="2">
        <f>Portfolio_Data_ProductGroups[[#This Row],[Profit_EUR_m]]/Portfolio_Data_ProductGroups[[#This Row],[Revenue_EUR_m]]</f>
        <v>0.22821203953279423</v>
      </c>
    </row>
    <row r="396" spans="1:5" x14ac:dyDescent="0.3">
      <c r="A396" t="s">
        <v>402</v>
      </c>
      <c r="B396" t="s">
        <v>13</v>
      </c>
      <c r="C396">
        <v>13.16</v>
      </c>
      <c r="D396">
        <v>7.23</v>
      </c>
      <c r="E396" s="2">
        <f>Portfolio_Data_ProductGroups[[#This Row],[Profit_EUR_m]]/Portfolio_Data_ProductGroups[[#This Row],[Revenue_EUR_m]]</f>
        <v>0.54939209726443772</v>
      </c>
    </row>
    <row r="397" spans="1:5" x14ac:dyDescent="0.3">
      <c r="A397" t="s">
        <v>403</v>
      </c>
      <c r="B397" t="s">
        <v>9</v>
      </c>
      <c r="C397">
        <v>10.99</v>
      </c>
      <c r="D397">
        <v>2.58</v>
      </c>
      <c r="E397" s="2">
        <f>Portfolio_Data_ProductGroups[[#This Row],[Profit_EUR_m]]/Portfolio_Data_ProductGroups[[#This Row],[Revenue_EUR_m]]</f>
        <v>0.23475887170154686</v>
      </c>
    </row>
    <row r="398" spans="1:5" x14ac:dyDescent="0.3">
      <c r="A398" t="s">
        <v>404</v>
      </c>
      <c r="B398" t="s">
        <v>7</v>
      </c>
      <c r="C398">
        <v>11.25</v>
      </c>
      <c r="D398">
        <v>3.42</v>
      </c>
      <c r="E398" s="2">
        <f>Portfolio_Data_ProductGroups[[#This Row],[Profit_EUR_m]]/Portfolio_Data_ProductGroups[[#This Row],[Revenue_EUR_m]]</f>
        <v>0.30399999999999999</v>
      </c>
    </row>
    <row r="399" spans="1:5" x14ac:dyDescent="0.3">
      <c r="A399" t="s">
        <v>405</v>
      </c>
      <c r="B399" t="s">
        <v>13</v>
      </c>
      <c r="C399">
        <v>18.03</v>
      </c>
      <c r="D399">
        <v>9.86</v>
      </c>
      <c r="E399" s="2">
        <f>Portfolio_Data_ProductGroups[[#This Row],[Profit_EUR_m]]/Portfolio_Data_ProductGroups[[#This Row],[Revenue_EUR_m]]</f>
        <v>0.54686633388796446</v>
      </c>
    </row>
    <row r="400" spans="1:5" x14ac:dyDescent="0.3">
      <c r="A400" t="s">
        <v>406</v>
      </c>
      <c r="B400" t="s">
        <v>7</v>
      </c>
      <c r="C400">
        <v>12.94</v>
      </c>
      <c r="D400">
        <v>3.02</v>
      </c>
      <c r="E400" s="2">
        <f>Portfolio_Data_ProductGroups[[#This Row],[Profit_EUR_m]]/Portfolio_Data_ProductGroups[[#This Row],[Revenue_EUR_m]]</f>
        <v>0.23338485316846988</v>
      </c>
    </row>
    <row r="401" spans="1:5" x14ac:dyDescent="0.3">
      <c r="A401" t="s">
        <v>407</v>
      </c>
      <c r="B401" t="s">
        <v>7</v>
      </c>
      <c r="C401">
        <v>26.34</v>
      </c>
      <c r="D401">
        <v>6.09</v>
      </c>
      <c r="E401" s="2">
        <f>Portfolio_Data_ProductGroups[[#This Row],[Profit_EUR_m]]/Portfolio_Data_ProductGroups[[#This Row],[Revenue_EUR_m]]</f>
        <v>0.23120728929384965</v>
      </c>
    </row>
    <row r="402" spans="1:5" x14ac:dyDescent="0.3">
      <c r="A402" t="s">
        <v>408</v>
      </c>
      <c r="B402" t="s">
        <v>7</v>
      </c>
      <c r="C402">
        <v>7.49</v>
      </c>
      <c r="D402">
        <v>2.27</v>
      </c>
      <c r="E402" s="2">
        <f>Portfolio_Data_ProductGroups[[#This Row],[Profit_EUR_m]]/Portfolio_Data_ProductGroups[[#This Row],[Revenue_EUR_m]]</f>
        <v>0.30307076101468622</v>
      </c>
    </row>
    <row r="403" spans="1:5" x14ac:dyDescent="0.3">
      <c r="A403" t="s">
        <v>409</v>
      </c>
      <c r="B403" t="s">
        <v>7</v>
      </c>
      <c r="C403">
        <v>12.04</v>
      </c>
      <c r="D403">
        <v>3.46</v>
      </c>
      <c r="E403" s="2">
        <f>Portfolio_Data_ProductGroups[[#This Row],[Profit_EUR_m]]/Portfolio_Data_ProductGroups[[#This Row],[Revenue_EUR_m]]</f>
        <v>0.28737541528239202</v>
      </c>
    </row>
    <row r="404" spans="1:5" x14ac:dyDescent="0.3">
      <c r="A404" t="s">
        <v>410</v>
      </c>
      <c r="B404" t="s">
        <v>13</v>
      </c>
      <c r="C404">
        <v>8.39</v>
      </c>
      <c r="D404">
        <v>3.98</v>
      </c>
      <c r="E404" s="2">
        <f>Portfolio_Data_ProductGroups[[#This Row],[Profit_EUR_m]]/Portfolio_Data_ProductGroups[[#This Row],[Revenue_EUR_m]]</f>
        <v>0.4743742550655542</v>
      </c>
    </row>
    <row r="405" spans="1:5" x14ac:dyDescent="0.3">
      <c r="A405" t="s">
        <v>411</v>
      </c>
      <c r="B405" t="s">
        <v>13</v>
      </c>
      <c r="C405">
        <v>7.92</v>
      </c>
      <c r="D405">
        <v>3.68</v>
      </c>
      <c r="E405" s="2">
        <f>Portfolio_Data_ProductGroups[[#This Row],[Profit_EUR_m]]/Portfolio_Data_ProductGroups[[#This Row],[Revenue_EUR_m]]</f>
        <v>0.4646464646464647</v>
      </c>
    </row>
    <row r="406" spans="1:5" x14ac:dyDescent="0.3">
      <c r="A406" t="s">
        <v>412</v>
      </c>
      <c r="B406" t="s">
        <v>9</v>
      </c>
      <c r="C406">
        <v>3.32</v>
      </c>
      <c r="D406">
        <v>0.93</v>
      </c>
      <c r="E406" s="2">
        <f>Portfolio_Data_ProductGroups[[#This Row],[Profit_EUR_m]]/Portfolio_Data_ProductGroups[[#This Row],[Revenue_EUR_m]]</f>
        <v>0.28012048192771088</v>
      </c>
    </row>
    <row r="407" spans="1:5" x14ac:dyDescent="0.3">
      <c r="A407" t="s">
        <v>413</v>
      </c>
      <c r="B407" t="s">
        <v>9</v>
      </c>
      <c r="C407">
        <v>9.49</v>
      </c>
      <c r="D407">
        <v>1.1000000000000001</v>
      </c>
      <c r="E407" s="2">
        <f>Portfolio_Data_ProductGroups[[#This Row],[Profit_EUR_m]]/Portfolio_Data_ProductGroups[[#This Row],[Revenue_EUR_m]]</f>
        <v>0.11591148577449947</v>
      </c>
    </row>
    <row r="408" spans="1:5" x14ac:dyDescent="0.3">
      <c r="A408" t="s">
        <v>414</v>
      </c>
      <c r="B408" t="s">
        <v>9</v>
      </c>
      <c r="C408">
        <v>33.01</v>
      </c>
      <c r="D408">
        <v>6.55</v>
      </c>
      <c r="E408" s="2">
        <f>Portfolio_Data_ProductGroups[[#This Row],[Profit_EUR_m]]/Portfolio_Data_ProductGroups[[#This Row],[Revenue_EUR_m]]</f>
        <v>0.19842471978188428</v>
      </c>
    </row>
    <row r="409" spans="1:5" x14ac:dyDescent="0.3">
      <c r="A409" t="s">
        <v>415</v>
      </c>
      <c r="B409" t="s">
        <v>7</v>
      </c>
      <c r="C409">
        <v>16.97</v>
      </c>
      <c r="D409">
        <v>4.13</v>
      </c>
      <c r="E409" s="2">
        <f>Portfolio_Data_ProductGroups[[#This Row],[Profit_EUR_m]]/Portfolio_Data_ProductGroups[[#This Row],[Revenue_EUR_m]]</f>
        <v>0.2433706540954626</v>
      </c>
    </row>
    <row r="410" spans="1:5" x14ac:dyDescent="0.3">
      <c r="A410" t="s">
        <v>416</v>
      </c>
      <c r="B410" t="s">
        <v>5</v>
      </c>
      <c r="C410">
        <v>12.68</v>
      </c>
      <c r="D410">
        <v>4.67</v>
      </c>
      <c r="E410" s="2">
        <f>Portfolio_Data_ProductGroups[[#This Row],[Profit_EUR_m]]/Portfolio_Data_ProductGroups[[#This Row],[Revenue_EUR_m]]</f>
        <v>0.36829652996845424</v>
      </c>
    </row>
    <row r="411" spans="1:5" x14ac:dyDescent="0.3">
      <c r="A411" t="s">
        <v>417</v>
      </c>
      <c r="B411" t="s">
        <v>9</v>
      </c>
      <c r="C411">
        <v>10.23</v>
      </c>
      <c r="D411">
        <v>1.51</v>
      </c>
      <c r="E411" s="2">
        <f>Portfolio_Data_ProductGroups[[#This Row],[Profit_EUR_m]]/Portfolio_Data_ProductGroups[[#This Row],[Revenue_EUR_m]]</f>
        <v>0.14760508308895406</v>
      </c>
    </row>
    <row r="412" spans="1:5" x14ac:dyDescent="0.3">
      <c r="A412" t="s">
        <v>418</v>
      </c>
      <c r="B412" t="s">
        <v>5</v>
      </c>
      <c r="C412">
        <v>8.32</v>
      </c>
      <c r="D412">
        <v>2.86</v>
      </c>
      <c r="E412" s="2">
        <f>Portfolio_Data_ProductGroups[[#This Row],[Profit_EUR_m]]/Portfolio_Data_ProductGroups[[#This Row],[Revenue_EUR_m]]</f>
        <v>0.34375</v>
      </c>
    </row>
    <row r="413" spans="1:5" x14ac:dyDescent="0.3">
      <c r="A413" t="s">
        <v>419</v>
      </c>
      <c r="B413" t="s">
        <v>9</v>
      </c>
      <c r="C413">
        <v>83.33</v>
      </c>
      <c r="D413">
        <v>20.57</v>
      </c>
      <c r="E413" s="2">
        <f>Portfolio_Data_ProductGroups[[#This Row],[Profit_EUR_m]]/Portfolio_Data_ProductGroups[[#This Row],[Revenue_EUR_m]]</f>
        <v>0.24684987399495981</v>
      </c>
    </row>
    <row r="414" spans="1:5" x14ac:dyDescent="0.3">
      <c r="A414" t="s">
        <v>420</v>
      </c>
      <c r="B414" t="s">
        <v>13</v>
      </c>
      <c r="C414">
        <v>37.799999999999997</v>
      </c>
      <c r="D414">
        <v>22.22</v>
      </c>
      <c r="E414" s="2">
        <f>Portfolio_Data_ProductGroups[[#This Row],[Profit_EUR_m]]/Portfolio_Data_ProductGroups[[#This Row],[Revenue_EUR_m]]</f>
        <v>0.58783068783068781</v>
      </c>
    </row>
    <row r="415" spans="1:5" x14ac:dyDescent="0.3">
      <c r="A415" t="s">
        <v>421</v>
      </c>
      <c r="B415" t="s">
        <v>7</v>
      </c>
      <c r="C415">
        <v>2.82</v>
      </c>
      <c r="D415">
        <v>0.96</v>
      </c>
      <c r="E415" s="2">
        <f>Portfolio_Data_ProductGroups[[#This Row],[Profit_EUR_m]]/Portfolio_Data_ProductGroups[[#This Row],[Revenue_EUR_m]]</f>
        <v>0.34042553191489361</v>
      </c>
    </row>
    <row r="416" spans="1:5" x14ac:dyDescent="0.3">
      <c r="A416" t="s">
        <v>422</v>
      </c>
      <c r="B416" t="s">
        <v>5</v>
      </c>
      <c r="C416">
        <v>6.47</v>
      </c>
      <c r="D416">
        <v>1.69</v>
      </c>
      <c r="E416" s="2">
        <f>Portfolio_Data_ProductGroups[[#This Row],[Profit_EUR_m]]/Portfolio_Data_ProductGroups[[#This Row],[Revenue_EUR_m]]</f>
        <v>0.26120556414219476</v>
      </c>
    </row>
    <row r="417" spans="1:5" x14ac:dyDescent="0.3">
      <c r="A417" t="s">
        <v>423</v>
      </c>
      <c r="B417" t="s">
        <v>7</v>
      </c>
      <c r="C417">
        <v>15.28</v>
      </c>
      <c r="D417">
        <v>4.46</v>
      </c>
      <c r="E417" s="2">
        <f>Portfolio_Data_ProductGroups[[#This Row],[Profit_EUR_m]]/Portfolio_Data_ProductGroups[[#This Row],[Revenue_EUR_m]]</f>
        <v>0.29188481675392669</v>
      </c>
    </row>
    <row r="418" spans="1:5" x14ac:dyDescent="0.3">
      <c r="A418" t="s">
        <v>424</v>
      </c>
      <c r="B418" t="s">
        <v>7</v>
      </c>
      <c r="C418">
        <v>16.899999999999999</v>
      </c>
      <c r="D418">
        <v>3.57</v>
      </c>
      <c r="E418" s="2">
        <f>Portfolio_Data_ProductGroups[[#This Row],[Profit_EUR_m]]/Portfolio_Data_ProductGroups[[#This Row],[Revenue_EUR_m]]</f>
        <v>0.21124260355029587</v>
      </c>
    </row>
    <row r="419" spans="1:5" x14ac:dyDescent="0.3">
      <c r="A419" t="s">
        <v>425</v>
      </c>
      <c r="B419" t="s">
        <v>5</v>
      </c>
      <c r="C419">
        <v>13.69</v>
      </c>
      <c r="D419">
        <v>3.3</v>
      </c>
      <c r="E419" s="2">
        <f>Portfolio_Data_ProductGroups[[#This Row],[Profit_EUR_m]]/Portfolio_Data_ProductGroups[[#This Row],[Revenue_EUR_m]]</f>
        <v>0.2410518626734843</v>
      </c>
    </row>
    <row r="420" spans="1:5" x14ac:dyDescent="0.3">
      <c r="A420" t="s">
        <v>426</v>
      </c>
      <c r="B420" t="s">
        <v>9</v>
      </c>
      <c r="C420">
        <v>12.17</v>
      </c>
      <c r="D420">
        <v>4.04</v>
      </c>
      <c r="E420" s="2">
        <f>Portfolio_Data_ProductGroups[[#This Row],[Profit_EUR_m]]/Portfolio_Data_ProductGroups[[#This Row],[Revenue_EUR_m]]</f>
        <v>0.33196384552177488</v>
      </c>
    </row>
    <row r="421" spans="1:5" x14ac:dyDescent="0.3">
      <c r="A421" t="s">
        <v>427</v>
      </c>
      <c r="B421" t="s">
        <v>5</v>
      </c>
      <c r="C421">
        <v>11.72</v>
      </c>
      <c r="D421">
        <v>2.95</v>
      </c>
      <c r="E421" s="2">
        <f>Portfolio_Data_ProductGroups[[#This Row],[Profit_EUR_m]]/Portfolio_Data_ProductGroups[[#This Row],[Revenue_EUR_m]]</f>
        <v>0.25170648464163825</v>
      </c>
    </row>
    <row r="422" spans="1:5" x14ac:dyDescent="0.3">
      <c r="A422" t="s">
        <v>428</v>
      </c>
      <c r="B422" t="s">
        <v>7</v>
      </c>
      <c r="C422">
        <v>31.69</v>
      </c>
      <c r="D422">
        <v>9.2799999999999994</v>
      </c>
      <c r="E422" s="2">
        <f>Portfolio_Data_ProductGroups[[#This Row],[Profit_EUR_m]]/Portfolio_Data_ProductGroups[[#This Row],[Revenue_EUR_m]]</f>
        <v>0.29283685705269796</v>
      </c>
    </row>
    <row r="423" spans="1:5" x14ac:dyDescent="0.3">
      <c r="A423" t="s">
        <v>429</v>
      </c>
      <c r="B423" t="s">
        <v>7</v>
      </c>
      <c r="C423">
        <v>8.7200000000000006</v>
      </c>
      <c r="D423">
        <v>2.42</v>
      </c>
      <c r="E423" s="2">
        <f>Portfolio_Data_ProductGroups[[#This Row],[Profit_EUR_m]]/Portfolio_Data_ProductGroups[[#This Row],[Revenue_EUR_m]]</f>
        <v>0.27752293577981646</v>
      </c>
    </row>
    <row r="424" spans="1:5" x14ac:dyDescent="0.3">
      <c r="A424" t="s">
        <v>430</v>
      </c>
      <c r="B424" t="s">
        <v>7</v>
      </c>
      <c r="C424">
        <v>3.34</v>
      </c>
      <c r="D424">
        <v>0.96</v>
      </c>
      <c r="E424" s="2">
        <f>Portfolio_Data_ProductGroups[[#This Row],[Profit_EUR_m]]/Portfolio_Data_ProductGroups[[#This Row],[Revenue_EUR_m]]</f>
        <v>0.28742514970059879</v>
      </c>
    </row>
    <row r="425" spans="1:5" x14ac:dyDescent="0.3">
      <c r="A425" t="s">
        <v>431</v>
      </c>
      <c r="B425" t="s">
        <v>7</v>
      </c>
      <c r="C425">
        <v>14.16</v>
      </c>
      <c r="D425">
        <v>2.91</v>
      </c>
      <c r="E425" s="2">
        <f>Portfolio_Data_ProductGroups[[#This Row],[Profit_EUR_m]]/Portfolio_Data_ProductGroups[[#This Row],[Revenue_EUR_m]]</f>
        <v>0.20550847457627119</v>
      </c>
    </row>
    <row r="426" spans="1:5" x14ac:dyDescent="0.3">
      <c r="A426" t="s">
        <v>432</v>
      </c>
      <c r="B426" t="s">
        <v>9</v>
      </c>
      <c r="C426">
        <v>17.64</v>
      </c>
      <c r="D426">
        <v>3.76</v>
      </c>
      <c r="E426" s="2">
        <f>Portfolio_Data_ProductGroups[[#This Row],[Profit_EUR_m]]/Portfolio_Data_ProductGroups[[#This Row],[Revenue_EUR_m]]</f>
        <v>0.21315192743764169</v>
      </c>
    </row>
    <row r="427" spans="1:5" x14ac:dyDescent="0.3">
      <c r="A427" t="s">
        <v>433</v>
      </c>
      <c r="B427" t="s">
        <v>7</v>
      </c>
      <c r="C427">
        <v>10.83</v>
      </c>
      <c r="D427">
        <v>2.2999999999999998</v>
      </c>
      <c r="E427" s="2">
        <f>Portfolio_Data_ProductGroups[[#This Row],[Profit_EUR_m]]/Portfolio_Data_ProductGroups[[#This Row],[Revenue_EUR_m]]</f>
        <v>0.21237303785780237</v>
      </c>
    </row>
    <row r="428" spans="1:5" x14ac:dyDescent="0.3">
      <c r="A428" t="s">
        <v>434</v>
      </c>
      <c r="B428" t="s">
        <v>5</v>
      </c>
      <c r="C428">
        <v>22.83</v>
      </c>
      <c r="D428">
        <v>6.25</v>
      </c>
      <c r="E428" s="2">
        <f>Portfolio_Data_ProductGroups[[#This Row],[Profit_EUR_m]]/Portfolio_Data_ProductGroups[[#This Row],[Revenue_EUR_m]]</f>
        <v>0.27376259307928169</v>
      </c>
    </row>
    <row r="429" spans="1:5" x14ac:dyDescent="0.3">
      <c r="A429" t="s">
        <v>435</v>
      </c>
      <c r="B429" t="s">
        <v>13</v>
      </c>
      <c r="C429">
        <v>13.87</v>
      </c>
      <c r="D429">
        <v>6.97</v>
      </c>
      <c r="E429" s="2">
        <f>Portfolio_Data_ProductGroups[[#This Row],[Profit_EUR_m]]/Portfolio_Data_ProductGroups[[#This Row],[Revenue_EUR_m]]</f>
        <v>0.50252343186733961</v>
      </c>
    </row>
    <row r="430" spans="1:5" x14ac:dyDescent="0.3">
      <c r="A430" t="s">
        <v>436</v>
      </c>
      <c r="B430" t="s">
        <v>5</v>
      </c>
      <c r="C430">
        <v>14.8</v>
      </c>
      <c r="D430">
        <v>4.38</v>
      </c>
      <c r="E430" s="2">
        <f>Portfolio_Data_ProductGroups[[#This Row],[Profit_EUR_m]]/Portfolio_Data_ProductGroups[[#This Row],[Revenue_EUR_m]]</f>
        <v>0.29594594594594592</v>
      </c>
    </row>
    <row r="431" spans="1:5" x14ac:dyDescent="0.3">
      <c r="A431" t="s">
        <v>437</v>
      </c>
      <c r="B431" t="s">
        <v>7</v>
      </c>
      <c r="C431">
        <v>14.29</v>
      </c>
      <c r="D431">
        <v>5.33</v>
      </c>
      <c r="E431" s="2">
        <f>Portfolio_Data_ProductGroups[[#This Row],[Profit_EUR_m]]/Portfolio_Data_ProductGroups[[#This Row],[Revenue_EUR_m]]</f>
        <v>0.37298810356892936</v>
      </c>
    </row>
    <row r="432" spans="1:5" x14ac:dyDescent="0.3">
      <c r="A432" t="s">
        <v>438</v>
      </c>
      <c r="B432" t="s">
        <v>5</v>
      </c>
      <c r="C432">
        <v>64.099999999999994</v>
      </c>
      <c r="D432">
        <v>20.329999999999998</v>
      </c>
      <c r="E432" s="2">
        <f>Portfolio_Data_ProductGroups[[#This Row],[Profit_EUR_m]]/Portfolio_Data_ProductGroups[[#This Row],[Revenue_EUR_m]]</f>
        <v>0.31716068642745709</v>
      </c>
    </row>
    <row r="433" spans="1:5" x14ac:dyDescent="0.3">
      <c r="A433" t="s">
        <v>439</v>
      </c>
      <c r="B433" t="s">
        <v>7</v>
      </c>
      <c r="C433">
        <v>29.91</v>
      </c>
      <c r="D433">
        <v>8.67</v>
      </c>
      <c r="E433" s="2">
        <f>Portfolio_Data_ProductGroups[[#This Row],[Profit_EUR_m]]/Portfolio_Data_ProductGroups[[#This Row],[Revenue_EUR_m]]</f>
        <v>0.28986960882647944</v>
      </c>
    </row>
    <row r="434" spans="1:5" x14ac:dyDescent="0.3">
      <c r="A434" t="s">
        <v>440</v>
      </c>
      <c r="B434" t="s">
        <v>5</v>
      </c>
      <c r="C434">
        <v>23.85</v>
      </c>
      <c r="D434">
        <v>5.43</v>
      </c>
      <c r="E434" s="2">
        <f>Portfolio_Data_ProductGroups[[#This Row],[Profit_EUR_m]]/Portfolio_Data_ProductGroups[[#This Row],[Revenue_EUR_m]]</f>
        <v>0.22767295597484274</v>
      </c>
    </row>
    <row r="435" spans="1:5" x14ac:dyDescent="0.3">
      <c r="A435" t="s">
        <v>441</v>
      </c>
      <c r="B435" t="s">
        <v>9</v>
      </c>
      <c r="C435">
        <v>12.25</v>
      </c>
      <c r="D435">
        <v>2.34</v>
      </c>
      <c r="E435" s="2">
        <f>Portfolio_Data_ProductGroups[[#This Row],[Profit_EUR_m]]/Portfolio_Data_ProductGroups[[#This Row],[Revenue_EUR_m]]</f>
        <v>0.19102040816326529</v>
      </c>
    </row>
    <row r="436" spans="1:5" x14ac:dyDescent="0.3">
      <c r="A436" t="s">
        <v>442</v>
      </c>
      <c r="B436" t="s">
        <v>9</v>
      </c>
      <c r="C436">
        <v>3.22</v>
      </c>
      <c r="D436">
        <v>0.59</v>
      </c>
      <c r="E436" s="2">
        <f>Portfolio_Data_ProductGroups[[#This Row],[Profit_EUR_m]]/Portfolio_Data_ProductGroups[[#This Row],[Revenue_EUR_m]]</f>
        <v>0.18322981366459626</v>
      </c>
    </row>
    <row r="437" spans="1:5" x14ac:dyDescent="0.3">
      <c r="A437" t="s">
        <v>443</v>
      </c>
      <c r="B437" t="s">
        <v>13</v>
      </c>
      <c r="C437">
        <v>8.7799999999999994</v>
      </c>
      <c r="D437">
        <v>4.3099999999999996</v>
      </c>
      <c r="E437" s="2">
        <f>Portfolio_Data_ProductGroups[[#This Row],[Profit_EUR_m]]/Portfolio_Data_ProductGroups[[#This Row],[Revenue_EUR_m]]</f>
        <v>0.49088838268792712</v>
      </c>
    </row>
    <row r="438" spans="1:5" x14ac:dyDescent="0.3">
      <c r="A438" t="s">
        <v>444</v>
      </c>
      <c r="B438" t="s">
        <v>5</v>
      </c>
      <c r="C438">
        <v>6.91</v>
      </c>
      <c r="D438">
        <v>2.2999999999999998</v>
      </c>
      <c r="E438" s="2">
        <f>Portfolio_Data_ProductGroups[[#This Row],[Profit_EUR_m]]/Portfolio_Data_ProductGroups[[#This Row],[Revenue_EUR_m]]</f>
        <v>0.33285094066570187</v>
      </c>
    </row>
    <row r="439" spans="1:5" x14ac:dyDescent="0.3">
      <c r="A439" t="s">
        <v>445</v>
      </c>
      <c r="B439" t="s">
        <v>13</v>
      </c>
      <c r="C439">
        <v>5.98</v>
      </c>
      <c r="D439">
        <v>2.5</v>
      </c>
      <c r="E439" s="2">
        <f>Portfolio_Data_ProductGroups[[#This Row],[Profit_EUR_m]]/Portfolio_Data_ProductGroups[[#This Row],[Revenue_EUR_m]]</f>
        <v>0.41806020066889626</v>
      </c>
    </row>
    <row r="440" spans="1:5" x14ac:dyDescent="0.3">
      <c r="A440" t="s">
        <v>446</v>
      </c>
      <c r="B440" t="s">
        <v>5</v>
      </c>
      <c r="C440">
        <v>24.18</v>
      </c>
      <c r="D440">
        <v>6.78</v>
      </c>
      <c r="E440" s="2">
        <f>Portfolio_Data_ProductGroups[[#This Row],[Profit_EUR_m]]/Portfolio_Data_ProductGroups[[#This Row],[Revenue_EUR_m]]</f>
        <v>0.28039702233250624</v>
      </c>
    </row>
    <row r="441" spans="1:5" x14ac:dyDescent="0.3">
      <c r="A441" t="s">
        <v>447</v>
      </c>
      <c r="B441" t="s">
        <v>9</v>
      </c>
      <c r="C441">
        <v>18.510000000000002</v>
      </c>
      <c r="D441">
        <v>4.6900000000000004</v>
      </c>
      <c r="E441" s="2">
        <f>Portfolio_Data_ProductGroups[[#This Row],[Profit_EUR_m]]/Portfolio_Data_ProductGroups[[#This Row],[Revenue_EUR_m]]</f>
        <v>0.25337655321447866</v>
      </c>
    </row>
    <row r="442" spans="1:5" x14ac:dyDescent="0.3">
      <c r="A442" t="s">
        <v>448</v>
      </c>
      <c r="B442" t="s">
        <v>7</v>
      </c>
      <c r="C442">
        <v>9.5299999999999994</v>
      </c>
      <c r="D442">
        <v>2.29</v>
      </c>
      <c r="E442" s="2">
        <f>Portfolio_Data_ProductGroups[[#This Row],[Profit_EUR_m]]/Portfolio_Data_ProductGroups[[#This Row],[Revenue_EUR_m]]</f>
        <v>0.24029380902413433</v>
      </c>
    </row>
    <row r="443" spans="1:5" x14ac:dyDescent="0.3">
      <c r="A443" t="s">
        <v>449</v>
      </c>
      <c r="B443" t="s">
        <v>7</v>
      </c>
      <c r="C443">
        <v>9.4</v>
      </c>
      <c r="D443">
        <v>3</v>
      </c>
      <c r="E443" s="2">
        <f>Portfolio_Data_ProductGroups[[#This Row],[Profit_EUR_m]]/Portfolio_Data_ProductGroups[[#This Row],[Revenue_EUR_m]]</f>
        <v>0.31914893617021273</v>
      </c>
    </row>
    <row r="444" spans="1:5" x14ac:dyDescent="0.3">
      <c r="A444" t="s">
        <v>450</v>
      </c>
      <c r="B444" t="s">
        <v>9</v>
      </c>
      <c r="C444">
        <v>7.49</v>
      </c>
      <c r="D444">
        <v>1.19</v>
      </c>
      <c r="E444" s="2">
        <f>Portfolio_Data_ProductGroups[[#This Row],[Profit_EUR_m]]/Portfolio_Data_ProductGroups[[#This Row],[Revenue_EUR_m]]</f>
        <v>0.15887850467289719</v>
      </c>
    </row>
    <row r="445" spans="1:5" x14ac:dyDescent="0.3">
      <c r="A445" t="s">
        <v>451</v>
      </c>
      <c r="B445" t="s">
        <v>9</v>
      </c>
      <c r="C445">
        <v>11.97</v>
      </c>
      <c r="D445">
        <v>2.67</v>
      </c>
      <c r="E445" s="2">
        <f>Portfolio_Data_ProductGroups[[#This Row],[Profit_EUR_m]]/Portfolio_Data_ProductGroups[[#This Row],[Revenue_EUR_m]]</f>
        <v>0.22305764411027568</v>
      </c>
    </row>
    <row r="446" spans="1:5" x14ac:dyDescent="0.3">
      <c r="A446" t="s">
        <v>452</v>
      </c>
      <c r="B446" t="s">
        <v>5</v>
      </c>
      <c r="C446">
        <v>30.43</v>
      </c>
      <c r="D446">
        <v>7.94</v>
      </c>
      <c r="E446" s="2">
        <f>Portfolio_Data_ProductGroups[[#This Row],[Profit_EUR_m]]/Portfolio_Data_ProductGroups[[#This Row],[Revenue_EUR_m]]</f>
        <v>0.26092671705553733</v>
      </c>
    </row>
    <row r="447" spans="1:5" x14ac:dyDescent="0.3">
      <c r="A447" t="s">
        <v>453</v>
      </c>
      <c r="B447" t="s">
        <v>5</v>
      </c>
      <c r="C447">
        <v>43.67</v>
      </c>
      <c r="D447">
        <v>11.58</v>
      </c>
      <c r="E447" s="2">
        <f>Portfolio_Data_ProductGroups[[#This Row],[Profit_EUR_m]]/Portfolio_Data_ProductGroups[[#This Row],[Revenue_EUR_m]]</f>
        <v>0.2651705976643004</v>
      </c>
    </row>
    <row r="448" spans="1:5" x14ac:dyDescent="0.3">
      <c r="A448" t="s">
        <v>454</v>
      </c>
      <c r="B448" t="s">
        <v>7</v>
      </c>
      <c r="C448">
        <v>23.21</v>
      </c>
      <c r="D448">
        <v>6.93</v>
      </c>
      <c r="E448" s="2">
        <f>Portfolio_Data_ProductGroups[[#This Row],[Profit_EUR_m]]/Portfolio_Data_ProductGroups[[#This Row],[Revenue_EUR_m]]</f>
        <v>0.29857819905213268</v>
      </c>
    </row>
    <row r="449" spans="1:5" x14ac:dyDescent="0.3">
      <c r="A449" t="s">
        <v>455</v>
      </c>
      <c r="B449" t="s">
        <v>7</v>
      </c>
      <c r="C449">
        <v>3.98</v>
      </c>
      <c r="D449">
        <v>0.85</v>
      </c>
      <c r="E449" s="2">
        <f>Portfolio_Data_ProductGroups[[#This Row],[Profit_EUR_m]]/Portfolio_Data_ProductGroups[[#This Row],[Revenue_EUR_m]]</f>
        <v>0.21356783919597991</v>
      </c>
    </row>
    <row r="450" spans="1:5" x14ac:dyDescent="0.3">
      <c r="A450" t="s">
        <v>456</v>
      </c>
      <c r="B450" t="s">
        <v>13</v>
      </c>
      <c r="C450">
        <v>5.81</v>
      </c>
      <c r="D450">
        <v>1.96</v>
      </c>
      <c r="E450" s="2">
        <f>Portfolio_Data_ProductGroups[[#This Row],[Profit_EUR_m]]/Portfolio_Data_ProductGroups[[#This Row],[Revenue_EUR_m]]</f>
        <v>0.33734939759036148</v>
      </c>
    </row>
    <row r="451" spans="1:5" x14ac:dyDescent="0.3">
      <c r="A451" t="s">
        <v>457</v>
      </c>
      <c r="B451" t="s">
        <v>5</v>
      </c>
      <c r="C451">
        <v>38.6</v>
      </c>
      <c r="D451">
        <v>6.21</v>
      </c>
      <c r="E451" s="2">
        <f>Portfolio_Data_ProductGroups[[#This Row],[Profit_EUR_m]]/Portfolio_Data_ProductGroups[[#This Row],[Revenue_EUR_m]]</f>
        <v>0.16088082901554404</v>
      </c>
    </row>
    <row r="452" spans="1:5" x14ac:dyDescent="0.3">
      <c r="A452" t="s">
        <v>458</v>
      </c>
      <c r="B452" t="s">
        <v>5</v>
      </c>
      <c r="C452">
        <v>76.430000000000007</v>
      </c>
      <c r="D452">
        <v>14.13</v>
      </c>
      <c r="E452" s="2">
        <f>Portfolio_Data_ProductGroups[[#This Row],[Profit_EUR_m]]/Portfolio_Data_ProductGroups[[#This Row],[Revenue_EUR_m]]</f>
        <v>0.18487504906450347</v>
      </c>
    </row>
    <row r="453" spans="1:5" x14ac:dyDescent="0.3">
      <c r="A453" t="s">
        <v>459</v>
      </c>
      <c r="B453" t="s">
        <v>9</v>
      </c>
      <c r="C453">
        <v>17.79</v>
      </c>
      <c r="D453">
        <v>5.66</v>
      </c>
      <c r="E453" s="2">
        <f>Portfolio_Data_ProductGroups[[#This Row],[Profit_EUR_m]]/Portfolio_Data_ProductGroups[[#This Row],[Revenue_EUR_m]]</f>
        <v>0.31815626756604837</v>
      </c>
    </row>
    <row r="454" spans="1:5" x14ac:dyDescent="0.3">
      <c r="A454" t="s">
        <v>460</v>
      </c>
      <c r="B454" t="s">
        <v>5</v>
      </c>
      <c r="C454">
        <v>26.77</v>
      </c>
      <c r="D454">
        <v>8.98</v>
      </c>
      <c r="E454" s="2">
        <f>Portfolio_Data_ProductGroups[[#This Row],[Profit_EUR_m]]/Portfolio_Data_ProductGroups[[#This Row],[Revenue_EUR_m]]</f>
        <v>0.33545013074336949</v>
      </c>
    </row>
    <row r="455" spans="1:5" x14ac:dyDescent="0.3">
      <c r="A455" t="s">
        <v>461</v>
      </c>
      <c r="B455" t="s">
        <v>9</v>
      </c>
      <c r="C455">
        <v>11.89</v>
      </c>
      <c r="D455">
        <v>1.8</v>
      </c>
      <c r="E455" s="2">
        <f>Portfolio_Data_ProductGroups[[#This Row],[Profit_EUR_m]]/Portfolio_Data_ProductGroups[[#This Row],[Revenue_EUR_m]]</f>
        <v>0.15138772077375945</v>
      </c>
    </row>
    <row r="456" spans="1:5" x14ac:dyDescent="0.3">
      <c r="A456" t="s">
        <v>462</v>
      </c>
      <c r="B456" t="s">
        <v>9</v>
      </c>
      <c r="C456">
        <v>14.21</v>
      </c>
      <c r="D456">
        <v>3.47</v>
      </c>
      <c r="E456" s="2">
        <f>Portfolio_Data_ProductGroups[[#This Row],[Profit_EUR_m]]/Portfolio_Data_ProductGroups[[#This Row],[Revenue_EUR_m]]</f>
        <v>0.2441942294159043</v>
      </c>
    </row>
    <row r="457" spans="1:5" x14ac:dyDescent="0.3">
      <c r="A457" t="s">
        <v>463</v>
      </c>
      <c r="B457" t="s">
        <v>5</v>
      </c>
      <c r="C457">
        <v>22.49</v>
      </c>
      <c r="D457">
        <v>5.7</v>
      </c>
      <c r="E457" s="2">
        <f>Portfolio_Data_ProductGroups[[#This Row],[Profit_EUR_m]]/Portfolio_Data_ProductGroups[[#This Row],[Revenue_EUR_m]]</f>
        <v>0.25344597598932861</v>
      </c>
    </row>
    <row r="458" spans="1:5" x14ac:dyDescent="0.3">
      <c r="A458" t="s">
        <v>464</v>
      </c>
      <c r="B458" t="s">
        <v>9</v>
      </c>
      <c r="C458">
        <v>29.51</v>
      </c>
      <c r="D458">
        <v>7.09</v>
      </c>
      <c r="E458" s="2">
        <f>Portfolio_Data_ProductGroups[[#This Row],[Profit_EUR_m]]/Portfolio_Data_ProductGroups[[#This Row],[Revenue_EUR_m]]</f>
        <v>0.24025753981701117</v>
      </c>
    </row>
    <row r="459" spans="1:5" x14ac:dyDescent="0.3">
      <c r="A459" t="s">
        <v>465</v>
      </c>
      <c r="B459" t="s">
        <v>5</v>
      </c>
      <c r="C459">
        <v>25</v>
      </c>
      <c r="D459">
        <v>7.62</v>
      </c>
      <c r="E459" s="2">
        <f>Portfolio_Data_ProductGroups[[#This Row],[Profit_EUR_m]]/Portfolio_Data_ProductGroups[[#This Row],[Revenue_EUR_m]]</f>
        <v>0.30480000000000002</v>
      </c>
    </row>
    <row r="460" spans="1:5" x14ac:dyDescent="0.3">
      <c r="A460" t="s">
        <v>466</v>
      </c>
      <c r="B460" t="s">
        <v>5</v>
      </c>
      <c r="C460">
        <v>21.81</v>
      </c>
      <c r="D460">
        <v>5.09</v>
      </c>
      <c r="E460" s="2">
        <f>Portfolio_Data_ProductGroups[[#This Row],[Profit_EUR_m]]/Portfolio_Data_ProductGroups[[#This Row],[Revenue_EUR_m]]</f>
        <v>0.2333791838606144</v>
      </c>
    </row>
    <row r="461" spans="1:5" x14ac:dyDescent="0.3">
      <c r="A461" t="s">
        <v>467</v>
      </c>
      <c r="B461" t="s">
        <v>9</v>
      </c>
      <c r="C461">
        <v>5.39</v>
      </c>
      <c r="D461">
        <v>1.25</v>
      </c>
      <c r="E461" s="2">
        <f>Portfolio_Data_ProductGroups[[#This Row],[Profit_EUR_m]]/Portfolio_Data_ProductGroups[[#This Row],[Revenue_EUR_m]]</f>
        <v>0.2319109461966605</v>
      </c>
    </row>
    <row r="462" spans="1:5" x14ac:dyDescent="0.3">
      <c r="A462" t="s">
        <v>468</v>
      </c>
      <c r="B462" t="s">
        <v>5</v>
      </c>
      <c r="C462">
        <v>24.13</v>
      </c>
      <c r="D462">
        <v>5.13</v>
      </c>
      <c r="E462" s="2">
        <f>Portfolio_Data_ProductGroups[[#This Row],[Profit_EUR_m]]/Portfolio_Data_ProductGroups[[#This Row],[Revenue_EUR_m]]</f>
        <v>0.2125984251968504</v>
      </c>
    </row>
    <row r="463" spans="1:5" x14ac:dyDescent="0.3">
      <c r="A463" t="s">
        <v>469</v>
      </c>
      <c r="B463" t="s">
        <v>5</v>
      </c>
      <c r="C463">
        <v>33.82</v>
      </c>
      <c r="D463">
        <v>5.68</v>
      </c>
      <c r="E463" s="2">
        <f>Portfolio_Data_ProductGroups[[#This Row],[Profit_EUR_m]]/Portfolio_Data_ProductGroups[[#This Row],[Revenue_EUR_m]]</f>
        <v>0.16794795978710822</v>
      </c>
    </row>
    <row r="464" spans="1:5" x14ac:dyDescent="0.3">
      <c r="A464" t="s">
        <v>470</v>
      </c>
      <c r="B464" t="s">
        <v>5</v>
      </c>
      <c r="C464">
        <v>3.52</v>
      </c>
      <c r="D464">
        <v>0.74</v>
      </c>
      <c r="E464" s="2">
        <f>Portfolio_Data_ProductGroups[[#This Row],[Profit_EUR_m]]/Portfolio_Data_ProductGroups[[#This Row],[Revenue_EUR_m]]</f>
        <v>0.21022727272727273</v>
      </c>
    </row>
    <row r="465" spans="1:5" x14ac:dyDescent="0.3">
      <c r="A465" t="s">
        <v>471</v>
      </c>
      <c r="B465" t="s">
        <v>7</v>
      </c>
      <c r="C465">
        <v>4.47</v>
      </c>
      <c r="D465">
        <v>1.0900000000000001</v>
      </c>
      <c r="E465" s="2">
        <f>Portfolio_Data_ProductGroups[[#This Row],[Profit_EUR_m]]/Portfolio_Data_ProductGroups[[#This Row],[Revenue_EUR_m]]</f>
        <v>0.24384787472035796</v>
      </c>
    </row>
    <row r="466" spans="1:5" x14ac:dyDescent="0.3">
      <c r="A466" t="s">
        <v>472</v>
      </c>
      <c r="B466" t="s">
        <v>13</v>
      </c>
      <c r="C466">
        <v>11.89</v>
      </c>
      <c r="D466">
        <v>4.33</v>
      </c>
      <c r="E466" s="2">
        <f>Portfolio_Data_ProductGroups[[#This Row],[Profit_EUR_m]]/Portfolio_Data_ProductGroups[[#This Row],[Revenue_EUR_m]]</f>
        <v>0.36417157275021023</v>
      </c>
    </row>
    <row r="467" spans="1:5" x14ac:dyDescent="0.3">
      <c r="A467" t="s">
        <v>473</v>
      </c>
      <c r="B467" t="s">
        <v>7</v>
      </c>
      <c r="C467">
        <v>32.770000000000003</v>
      </c>
      <c r="D467">
        <v>7.89</v>
      </c>
      <c r="E467" s="2">
        <f>Portfolio_Data_ProductGroups[[#This Row],[Profit_EUR_m]]/Portfolio_Data_ProductGroups[[#This Row],[Revenue_EUR_m]]</f>
        <v>0.24076899603295693</v>
      </c>
    </row>
    <row r="468" spans="1:5" x14ac:dyDescent="0.3">
      <c r="A468" t="s">
        <v>474</v>
      </c>
      <c r="B468" t="s">
        <v>7</v>
      </c>
      <c r="C468">
        <v>3.29</v>
      </c>
      <c r="D468">
        <v>0.88</v>
      </c>
      <c r="E468" s="2">
        <f>Portfolio_Data_ProductGroups[[#This Row],[Profit_EUR_m]]/Portfolio_Data_ProductGroups[[#This Row],[Revenue_EUR_m]]</f>
        <v>0.26747720364741639</v>
      </c>
    </row>
    <row r="469" spans="1:5" x14ac:dyDescent="0.3">
      <c r="A469" t="s">
        <v>475</v>
      </c>
      <c r="B469" t="s">
        <v>5</v>
      </c>
      <c r="C469">
        <v>10.3</v>
      </c>
      <c r="D469">
        <v>1.98</v>
      </c>
      <c r="E469" s="2">
        <f>Portfolio_Data_ProductGroups[[#This Row],[Profit_EUR_m]]/Portfolio_Data_ProductGroups[[#This Row],[Revenue_EUR_m]]</f>
        <v>0.19223300970873786</v>
      </c>
    </row>
    <row r="470" spans="1:5" x14ac:dyDescent="0.3">
      <c r="A470" t="s">
        <v>476</v>
      </c>
      <c r="B470" t="s">
        <v>7</v>
      </c>
      <c r="C470">
        <v>19.61</v>
      </c>
      <c r="D470">
        <v>5.92</v>
      </c>
      <c r="E470" s="2">
        <f>Portfolio_Data_ProductGroups[[#This Row],[Profit_EUR_m]]/Portfolio_Data_ProductGroups[[#This Row],[Revenue_EUR_m]]</f>
        <v>0.30188679245283018</v>
      </c>
    </row>
    <row r="471" spans="1:5" x14ac:dyDescent="0.3">
      <c r="A471" t="s">
        <v>477</v>
      </c>
      <c r="B471" t="s">
        <v>7</v>
      </c>
      <c r="C471">
        <v>27.52</v>
      </c>
      <c r="D471">
        <v>9.7799999999999994</v>
      </c>
      <c r="E471" s="2">
        <f>Portfolio_Data_ProductGroups[[#This Row],[Profit_EUR_m]]/Portfolio_Data_ProductGroups[[#This Row],[Revenue_EUR_m]]</f>
        <v>0.35537790697674415</v>
      </c>
    </row>
    <row r="472" spans="1:5" x14ac:dyDescent="0.3">
      <c r="A472" t="s">
        <v>478</v>
      </c>
      <c r="B472" t="s">
        <v>5</v>
      </c>
      <c r="C472">
        <v>74.2</v>
      </c>
      <c r="D472">
        <v>18.21</v>
      </c>
      <c r="E472" s="2">
        <f>Portfolio_Data_ProductGroups[[#This Row],[Profit_EUR_m]]/Portfolio_Data_ProductGroups[[#This Row],[Revenue_EUR_m]]</f>
        <v>0.24541778975741241</v>
      </c>
    </row>
    <row r="473" spans="1:5" x14ac:dyDescent="0.3">
      <c r="A473" t="s">
        <v>479</v>
      </c>
      <c r="B473" t="s">
        <v>5</v>
      </c>
      <c r="C473">
        <v>14.01</v>
      </c>
      <c r="D473">
        <v>2.4500000000000002</v>
      </c>
      <c r="E473" s="2">
        <f>Portfolio_Data_ProductGroups[[#This Row],[Profit_EUR_m]]/Portfolio_Data_ProductGroups[[#This Row],[Revenue_EUR_m]]</f>
        <v>0.1748750892219843</v>
      </c>
    </row>
    <row r="474" spans="1:5" x14ac:dyDescent="0.3">
      <c r="A474" t="s">
        <v>480</v>
      </c>
      <c r="B474" t="s">
        <v>9</v>
      </c>
      <c r="C474">
        <v>7.57</v>
      </c>
      <c r="D474">
        <v>2</v>
      </c>
      <c r="E474" s="2">
        <f>Portfolio_Data_ProductGroups[[#This Row],[Profit_EUR_m]]/Portfolio_Data_ProductGroups[[#This Row],[Revenue_EUR_m]]</f>
        <v>0.26420079260237778</v>
      </c>
    </row>
    <row r="475" spans="1:5" x14ac:dyDescent="0.3">
      <c r="A475" t="s">
        <v>481</v>
      </c>
      <c r="B475" t="s">
        <v>5</v>
      </c>
      <c r="C475">
        <v>15.96</v>
      </c>
      <c r="D475">
        <v>3.02</v>
      </c>
      <c r="E475" s="2">
        <f>Portfolio_Data_ProductGroups[[#This Row],[Profit_EUR_m]]/Portfolio_Data_ProductGroups[[#This Row],[Revenue_EUR_m]]</f>
        <v>0.18922305764411027</v>
      </c>
    </row>
    <row r="476" spans="1:5" x14ac:dyDescent="0.3">
      <c r="A476" t="s">
        <v>482</v>
      </c>
      <c r="B476" t="s">
        <v>13</v>
      </c>
      <c r="C476">
        <v>13.69</v>
      </c>
      <c r="D476">
        <v>5.96</v>
      </c>
      <c r="E476" s="2">
        <f>Portfolio_Data_ProductGroups[[#This Row],[Profit_EUR_m]]/Portfolio_Data_ProductGroups[[#This Row],[Revenue_EUR_m]]</f>
        <v>0.43535427319211106</v>
      </c>
    </row>
    <row r="477" spans="1:5" x14ac:dyDescent="0.3">
      <c r="A477" t="s">
        <v>483</v>
      </c>
      <c r="B477" t="s">
        <v>5</v>
      </c>
      <c r="C477">
        <v>20.7</v>
      </c>
      <c r="D477">
        <v>3.5</v>
      </c>
      <c r="E477" s="2">
        <f>Portfolio_Data_ProductGroups[[#This Row],[Profit_EUR_m]]/Portfolio_Data_ProductGroups[[#This Row],[Revenue_EUR_m]]</f>
        <v>0.16908212560386474</v>
      </c>
    </row>
    <row r="478" spans="1:5" x14ac:dyDescent="0.3">
      <c r="A478" t="s">
        <v>484</v>
      </c>
      <c r="B478" t="s">
        <v>5</v>
      </c>
      <c r="C478">
        <v>25.31</v>
      </c>
      <c r="D478">
        <v>5.38</v>
      </c>
      <c r="E478" s="2">
        <f>Portfolio_Data_ProductGroups[[#This Row],[Profit_EUR_m]]/Portfolio_Data_ProductGroups[[#This Row],[Revenue_EUR_m]]</f>
        <v>0.21256420387198735</v>
      </c>
    </row>
    <row r="479" spans="1:5" x14ac:dyDescent="0.3">
      <c r="A479" t="s">
        <v>485</v>
      </c>
      <c r="B479" t="s">
        <v>5</v>
      </c>
      <c r="C479">
        <v>9.8800000000000008</v>
      </c>
      <c r="D479">
        <v>2.84</v>
      </c>
      <c r="E479" s="2">
        <f>Portfolio_Data_ProductGroups[[#This Row],[Profit_EUR_m]]/Portfolio_Data_ProductGroups[[#This Row],[Revenue_EUR_m]]</f>
        <v>0.28744939271255054</v>
      </c>
    </row>
    <row r="480" spans="1:5" x14ac:dyDescent="0.3">
      <c r="A480" t="s">
        <v>486</v>
      </c>
      <c r="B480" t="s">
        <v>5</v>
      </c>
      <c r="C480">
        <v>22.89</v>
      </c>
      <c r="D480">
        <v>6.78</v>
      </c>
      <c r="E480" s="2">
        <f>Portfolio_Data_ProductGroups[[#This Row],[Profit_EUR_m]]/Portfolio_Data_ProductGroups[[#This Row],[Revenue_EUR_m]]</f>
        <v>0.2961992136304063</v>
      </c>
    </row>
    <row r="481" spans="1:5" x14ac:dyDescent="0.3">
      <c r="A481" t="s">
        <v>487</v>
      </c>
      <c r="B481" t="s">
        <v>5</v>
      </c>
      <c r="C481">
        <v>10.8</v>
      </c>
      <c r="D481">
        <v>2.61</v>
      </c>
      <c r="E481" s="2">
        <f>Portfolio_Data_ProductGroups[[#This Row],[Profit_EUR_m]]/Portfolio_Data_ProductGroups[[#This Row],[Revenue_EUR_m]]</f>
        <v>0.24166666666666664</v>
      </c>
    </row>
    <row r="482" spans="1:5" x14ac:dyDescent="0.3">
      <c r="A482" t="s">
        <v>488</v>
      </c>
      <c r="B482" t="s">
        <v>5</v>
      </c>
      <c r="C482">
        <v>10.220000000000001</v>
      </c>
      <c r="D482">
        <v>2.64</v>
      </c>
      <c r="E482" s="2">
        <f>Portfolio_Data_ProductGroups[[#This Row],[Profit_EUR_m]]/Portfolio_Data_ProductGroups[[#This Row],[Revenue_EUR_m]]</f>
        <v>0.2583170254403131</v>
      </c>
    </row>
    <row r="483" spans="1:5" x14ac:dyDescent="0.3">
      <c r="A483" t="s">
        <v>489</v>
      </c>
      <c r="B483" t="s">
        <v>5</v>
      </c>
      <c r="C483">
        <v>8.4600000000000009</v>
      </c>
      <c r="D483">
        <v>2.0299999999999998</v>
      </c>
      <c r="E483" s="2">
        <f>Portfolio_Data_ProductGroups[[#This Row],[Profit_EUR_m]]/Portfolio_Data_ProductGroups[[#This Row],[Revenue_EUR_m]]</f>
        <v>0.23995271867612289</v>
      </c>
    </row>
    <row r="484" spans="1:5" x14ac:dyDescent="0.3">
      <c r="A484" t="s">
        <v>490</v>
      </c>
      <c r="B484" t="s">
        <v>5</v>
      </c>
      <c r="C484">
        <v>7.86</v>
      </c>
      <c r="D484">
        <v>1.85</v>
      </c>
      <c r="E484" s="2">
        <f>Portfolio_Data_ProductGroups[[#This Row],[Profit_EUR_m]]/Portfolio_Data_ProductGroups[[#This Row],[Revenue_EUR_m]]</f>
        <v>0.23536895674300254</v>
      </c>
    </row>
    <row r="485" spans="1:5" x14ac:dyDescent="0.3">
      <c r="A485" t="s">
        <v>491</v>
      </c>
      <c r="B485" t="s">
        <v>5</v>
      </c>
      <c r="C485">
        <v>13.15</v>
      </c>
      <c r="D485">
        <v>1.93</v>
      </c>
      <c r="E485" s="2">
        <f>Portfolio_Data_ProductGroups[[#This Row],[Profit_EUR_m]]/Portfolio_Data_ProductGroups[[#This Row],[Revenue_EUR_m]]</f>
        <v>0.1467680608365019</v>
      </c>
    </row>
    <row r="486" spans="1:5" x14ac:dyDescent="0.3">
      <c r="A486" t="s">
        <v>492</v>
      </c>
      <c r="B486" t="s">
        <v>7</v>
      </c>
      <c r="C486">
        <v>21.66</v>
      </c>
      <c r="D486">
        <v>7.14</v>
      </c>
      <c r="E486" s="2">
        <f>Portfolio_Data_ProductGroups[[#This Row],[Profit_EUR_m]]/Portfolio_Data_ProductGroups[[#This Row],[Revenue_EUR_m]]</f>
        <v>0.32963988919667586</v>
      </c>
    </row>
    <row r="487" spans="1:5" x14ac:dyDescent="0.3">
      <c r="A487" t="s">
        <v>493</v>
      </c>
      <c r="B487" t="s">
        <v>13</v>
      </c>
      <c r="C487">
        <v>4.25</v>
      </c>
      <c r="D487">
        <v>1.95</v>
      </c>
      <c r="E487" s="2">
        <f>Portfolio_Data_ProductGroups[[#This Row],[Profit_EUR_m]]/Portfolio_Data_ProductGroups[[#This Row],[Revenue_EUR_m]]</f>
        <v>0.45882352941176469</v>
      </c>
    </row>
    <row r="488" spans="1:5" x14ac:dyDescent="0.3">
      <c r="A488" t="s">
        <v>494</v>
      </c>
      <c r="B488" t="s">
        <v>7</v>
      </c>
      <c r="C488">
        <v>32.57</v>
      </c>
      <c r="D488">
        <v>8.82</v>
      </c>
      <c r="E488" s="2">
        <f>Portfolio_Data_ProductGroups[[#This Row],[Profit_EUR_m]]/Portfolio_Data_ProductGroups[[#This Row],[Revenue_EUR_m]]</f>
        <v>0.27080135093644458</v>
      </c>
    </row>
    <row r="489" spans="1:5" x14ac:dyDescent="0.3">
      <c r="A489" t="s">
        <v>495</v>
      </c>
      <c r="B489" t="s">
        <v>5</v>
      </c>
      <c r="C489">
        <v>6.78</v>
      </c>
      <c r="D489">
        <v>1.29</v>
      </c>
      <c r="E489" s="2">
        <f>Portfolio_Data_ProductGroups[[#This Row],[Profit_EUR_m]]/Portfolio_Data_ProductGroups[[#This Row],[Revenue_EUR_m]]</f>
        <v>0.19026548672566371</v>
      </c>
    </row>
    <row r="490" spans="1:5" x14ac:dyDescent="0.3">
      <c r="A490" t="s">
        <v>496</v>
      </c>
      <c r="B490" t="s">
        <v>5</v>
      </c>
      <c r="C490">
        <v>27</v>
      </c>
      <c r="D490">
        <v>7.31</v>
      </c>
      <c r="E490" s="2">
        <f>Portfolio_Data_ProductGroups[[#This Row],[Profit_EUR_m]]/Portfolio_Data_ProductGroups[[#This Row],[Revenue_EUR_m]]</f>
        <v>0.27074074074074073</v>
      </c>
    </row>
    <row r="491" spans="1:5" x14ac:dyDescent="0.3">
      <c r="A491" t="s">
        <v>497</v>
      </c>
      <c r="B491" t="s">
        <v>5</v>
      </c>
      <c r="C491">
        <v>29.47</v>
      </c>
      <c r="D491">
        <v>7.79</v>
      </c>
      <c r="E491" s="2">
        <f>Portfolio_Data_ProductGroups[[#This Row],[Profit_EUR_m]]/Portfolio_Data_ProductGroups[[#This Row],[Revenue_EUR_m]]</f>
        <v>0.26433661350525961</v>
      </c>
    </row>
    <row r="492" spans="1:5" x14ac:dyDescent="0.3">
      <c r="A492" t="s">
        <v>498</v>
      </c>
      <c r="B492" t="s">
        <v>9</v>
      </c>
      <c r="C492">
        <v>52.54</v>
      </c>
      <c r="D492">
        <v>8.26</v>
      </c>
      <c r="E492" s="2">
        <f>Portfolio_Data_ProductGroups[[#This Row],[Profit_EUR_m]]/Portfolio_Data_ProductGroups[[#This Row],[Revenue_EUR_m]]</f>
        <v>0.15721355157974876</v>
      </c>
    </row>
    <row r="493" spans="1:5" x14ac:dyDescent="0.3">
      <c r="A493" t="s">
        <v>499</v>
      </c>
      <c r="B493" t="s">
        <v>9</v>
      </c>
      <c r="C493">
        <v>73.180000000000007</v>
      </c>
      <c r="D493">
        <v>19.73</v>
      </c>
      <c r="E493" s="2">
        <f>Portfolio_Data_ProductGroups[[#This Row],[Profit_EUR_m]]/Portfolio_Data_ProductGroups[[#This Row],[Revenue_EUR_m]]</f>
        <v>0.26960918283684066</v>
      </c>
    </row>
    <row r="494" spans="1:5" x14ac:dyDescent="0.3">
      <c r="A494" t="s">
        <v>500</v>
      </c>
      <c r="B494" t="s">
        <v>5</v>
      </c>
      <c r="C494">
        <v>21.58</v>
      </c>
      <c r="D494">
        <v>7.68</v>
      </c>
      <c r="E494" s="2">
        <f>Portfolio_Data_ProductGroups[[#This Row],[Profit_EUR_m]]/Portfolio_Data_ProductGroups[[#This Row],[Revenue_EUR_m]]</f>
        <v>0.35588507877664505</v>
      </c>
    </row>
    <row r="495" spans="1:5" x14ac:dyDescent="0.3">
      <c r="A495" t="s">
        <v>501</v>
      </c>
      <c r="B495" t="s">
        <v>9</v>
      </c>
      <c r="C495">
        <v>36.590000000000003</v>
      </c>
      <c r="D495">
        <v>6.17</v>
      </c>
      <c r="E495" s="2">
        <f>Portfolio_Data_ProductGroups[[#This Row],[Profit_EUR_m]]/Portfolio_Data_ProductGroups[[#This Row],[Revenue_EUR_m]]</f>
        <v>0.16862530746105492</v>
      </c>
    </row>
    <row r="496" spans="1:5" x14ac:dyDescent="0.3">
      <c r="A496" t="s">
        <v>502</v>
      </c>
      <c r="B496" t="s">
        <v>5</v>
      </c>
      <c r="C496">
        <v>138.59</v>
      </c>
      <c r="D496">
        <v>23.07</v>
      </c>
      <c r="E496" s="2">
        <f>Portfolio_Data_ProductGroups[[#This Row],[Profit_EUR_m]]/Portfolio_Data_ProductGroups[[#This Row],[Revenue_EUR_m]]</f>
        <v>0.16646222671188396</v>
      </c>
    </row>
    <row r="497" spans="1:5" x14ac:dyDescent="0.3">
      <c r="A497" t="s">
        <v>503</v>
      </c>
      <c r="B497" t="s">
        <v>5</v>
      </c>
      <c r="C497">
        <v>24.02</v>
      </c>
      <c r="D497">
        <v>7.68</v>
      </c>
      <c r="E497" s="2">
        <f>Portfolio_Data_ProductGroups[[#This Row],[Profit_EUR_m]]/Portfolio_Data_ProductGroups[[#This Row],[Revenue_EUR_m]]</f>
        <v>0.31973355537052456</v>
      </c>
    </row>
    <row r="498" spans="1:5" x14ac:dyDescent="0.3">
      <c r="A498" t="s">
        <v>504</v>
      </c>
      <c r="B498" t="s">
        <v>5</v>
      </c>
      <c r="C498">
        <v>27.86</v>
      </c>
      <c r="D498">
        <v>8.0500000000000007</v>
      </c>
      <c r="E498" s="2">
        <f>Portfolio_Data_ProductGroups[[#This Row],[Profit_EUR_m]]/Portfolio_Data_ProductGroups[[#This Row],[Revenue_EUR_m]]</f>
        <v>0.28894472361809048</v>
      </c>
    </row>
    <row r="499" spans="1:5" x14ac:dyDescent="0.3">
      <c r="A499" t="s">
        <v>505</v>
      </c>
      <c r="B499" t="s">
        <v>13</v>
      </c>
      <c r="C499">
        <v>9.24</v>
      </c>
      <c r="D499">
        <v>5.64</v>
      </c>
      <c r="E499" s="2">
        <f>Portfolio_Data_ProductGroups[[#This Row],[Profit_EUR_m]]/Portfolio_Data_ProductGroups[[#This Row],[Revenue_EUR_m]]</f>
        <v>0.61038961038961037</v>
      </c>
    </row>
    <row r="500" spans="1:5" x14ac:dyDescent="0.3">
      <c r="A500" t="s">
        <v>506</v>
      </c>
      <c r="B500" t="s">
        <v>7</v>
      </c>
      <c r="C500">
        <v>7.19</v>
      </c>
      <c r="D500">
        <v>1.31</v>
      </c>
      <c r="E500" s="2">
        <f>Portfolio_Data_ProductGroups[[#This Row],[Profit_EUR_m]]/Portfolio_Data_ProductGroups[[#This Row],[Revenue_EUR_m]]</f>
        <v>0.18219749652294853</v>
      </c>
    </row>
    <row r="501" spans="1:5" x14ac:dyDescent="0.3">
      <c r="A501" t="s">
        <v>507</v>
      </c>
      <c r="B501" t="s">
        <v>9</v>
      </c>
      <c r="C501">
        <v>22.84</v>
      </c>
      <c r="D501">
        <v>4.8</v>
      </c>
      <c r="E501" s="2">
        <f>Portfolio_Data_ProductGroups[[#This Row],[Profit_EUR_m]]/Portfolio_Data_ProductGroups[[#This Row],[Revenue_EUR_m]]</f>
        <v>0.21015761821366025</v>
      </c>
    </row>
    <row r="502" spans="1:5" x14ac:dyDescent="0.3">
      <c r="A502" t="s">
        <v>508</v>
      </c>
      <c r="B502" t="s">
        <v>9</v>
      </c>
      <c r="C502">
        <v>2.46</v>
      </c>
      <c r="D502">
        <v>0.56000000000000005</v>
      </c>
      <c r="E502" s="2">
        <f>Portfolio_Data_ProductGroups[[#This Row],[Profit_EUR_m]]/Portfolio_Data_ProductGroups[[#This Row],[Revenue_EUR_m]]</f>
        <v>0.22764227642276424</v>
      </c>
    </row>
    <row r="503" spans="1:5" x14ac:dyDescent="0.3">
      <c r="A503" t="s">
        <v>509</v>
      </c>
      <c r="B503" t="s">
        <v>5</v>
      </c>
      <c r="C503">
        <v>18.18</v>
      </c>
      <c r="D503">
        <v>6.13</v>
      </c>
      <c r="E503" s="2">
        <f>Portfolio_Data_ProductGroups[[#This Row],[Profit_EUR_m]]/Portfolio_Data_ProductGroups[[#This Row],[Revenue_EUR_m]]</f>
        <v>0.33718371837183719</v>
      </c>
    </row>
    <row r="504" spans="1:5" x14ac:dyDescent="0.3">
      <c r="A504" t="s">
        <v>510</v>
      </c>
      <c r="B504" t="s">
        <v>9</v>
      </c>
      <c r="C504">
        <v>11.88</v>
      </c>
      <c r="D504">
        <v>3.37</v>
      </c>
      <c r="E504" s="2">
        <f>Portfolio_Data_ProductGroups[[#This Row],[Profit_EUR_m]]/Portfolio_Data_ProductGroups[[#This Row],[Revenue_EUR_m]]</f>
        <v>0.28367003367003368</v>
      </c>
    </row>
    <row r="505" spans="1:5" x14ac:dyDescent="0.3">
      <c r="A505" t="s">
        <v>511</v>
      </c>
      <c r="B505" t="s">
        <v>5</v>
      </c>
      <c r="C505">
        <v>3.07</v>
      </c>
      <c r="D505">
        <v>0.53</v>
      </c>
      <c r="E505" s="2">
        <f>Portfolio_Data_ProductGroups[[#This Row],[Profit_EUR_m]]/Portfolio_Data_ProductGroups[[#This Row],[Revenue_EUR_m]]</f>
        <v>0.17263843648208471</v>
      </c>
    </row>
    <row r="506" spans="1:5" x14ac:dyDescent="0.3">
      <c r="A506" t="s">
        <v>512</v>
      </c>
      <c r="B506" t="s">
        <v>7</v>
      </c>
      <c r="C506">
        <v>16.32</v>
      </c>
      <c r="D506">
        <v>6.13</v>
      </c>
      <c r="E506" s="2">
        <f>Portfolio_Data_ProductGroups[[#This Row],[Profit_EUR_m]]/Portfolio_Data_ProductGroups[[#This Row],[Revenue_EUR_m]]</f>
        <v>0.37561274509803921</v>
      </c>
    </row>
    <row r="507" spans="1:5" x14ac:dyDescent="0.3">
      <c r="A507" t="s">
        <v>513</v>
      </c>
      <c r="B507" t="s">
        <v>5</v>
      </c>
      <c r="C507">
        <v>62.87</v>
      </c>
      <c r="D507">
        <v>16.25</v>
      </c>
      <c r="E507" s="2">
        <f>Portfolio_Data_ProductGroups[[#This Row],[Profit_EUR_m]]/Portfolio_Data_ProductGroups[[#This Row],[Revenue_EUR_m]]</f>
        <v>0.25846985843804676</v>
      </c>
    </row>
    <row r="508" spans="1:5" x14ac:dyDescent="0.3">
      <c r="A508" t="s">
        <v>514</v>
      </c>
      <c r="B508" t="s">
        <v>13</v>
      </c>
      <c r="C508">
        <v>13.41</v>
      </c>
      <c r="D508">
        <v>4.16</v>
      </c>
      <c r="E508" s="2">
        <f>Portfolio_Data_ProductGroups[[#This Row],[Profit_EUR_m]]/Portfolio_Data_ProductGroups[[#This Row],[Revenue_EUR_m]]</f>
        <v>0.31021625652498136</v>
      </c>
    </row>
    <row r="509" spans="1:5" x14ac:dyDescent="0.3">
      <c r="A509" t="s">
        <v>515</v>
      </c>
      <c r="B509" t="s">
        <v>13</v>
      </c>
      <c r="C509">
        <v>6.57</v>
      </c>
      <c r="D509">
        <v>2.73</v>
      </c>
      <c r="E509" s="2">
        <f>Portfolio_Data_ProductGroups[[#This Row],[Profit_EUR_m]]/Portfolio_Data_ProductGroups[[#This Row],[Revenue_EUR_m]]</f>
        <v>0.41552511415525112</v>
      </c>
    </row>
    <row r="510" spans="1:5" x14ac:dyDescent="0.3">
      <c r="A510" t="s">
        <v>516</v>
      </c>
      <c r="B510" t="s">
        <v>13</v>
      </c>
      <c r="C510">
        <v>27.22</v>
      </c>
      <c r="D510">
        <v>14.45</v>
      </c>
      <c r="E510" s="2">
        <f>Portfolio_Data_ProductGroups[[#This Row],[Profit_EUR_m]]/Portfolio_Data_ProductGroups[[#This Row],[Revenue_EUR_m]]</f>
        <v>0.53085966201322554</v>
      </c>
    </row>
    <row r="511" spans="1:5" x14ac:dyDescent="0.3">
      <c r="A511" t="s">
        <v>517</v>
      </c>
      <c r="B511" t="s">
        <v>7</v>
      </c>
      <c r="C511">
        <v>28.93</v>
      </c>
      <c r="D511">
        <v>11.04</v>
      </c>
      <c r="E511" s="2">
        <f>Portfolio_Data_ProductGroups[[#This Row],[Profit_EUR_m]]/Portfolio_Data_ProductGroups[[#This Row],[Revenue_EUR_m]]</f>
        <v>0.38161078465260972</v>
      </c>
    </row>
    <row r="512" spans="1:5" x14ac:dyDescent="0.3">
      <c r="A512" t="s">
        <v>518</v>
      </c>
      <c r="B512" t="s">
        <v>7</v>
      </c>
      <c r="C512">
        <v>7.83</v>
      </c>
      <c r="D512">
        <v>2.2799999999999998</v>
      </c>
      <c r="E512" s="2">
        <f>Portfolio_Data_ProductGroups[[#This Row],[Profit_EUR_m]]/Portfolio_Data_ProductGroups[[#This Row],[Revenue_EUR_m]]</f>
        <v>0.29118773946360149</v>
      </c>
    </row>
    <row r="513" spans="1:5" x14ac:dyDescent="0.3">
      <c r="A513" t="s">
        <v>519</v>
      </c>
      <c r="B513" t="s">
        <v>5</v>
      </c>
      <c r="C513">
        <v>26.14</v>
      </c>
      <c r="D513">
        <v>6.29</v>
      </c>
      <c r="E513" s="2">
        <f>Portfolio_Data_ProductGroups[[#This Row],[Profit_EUR_m]]/Portfolio_Data_ProductGroups[[#This Row],[Revenue_EUR_m]]</f>
        <v>0.24062739097169089</v>
      </c>
    </row>
    <row r="514" spans="1:5" x14ac:dyDescent="0.3">
      <c r="A514" t="s">
        <v>520</v>
      </c>
      <c r="B514" t="s">
        <v>9</v>
      </c>
      <c r="C514">
        <v>22.15</v>
      </c>
      <c r="D514">
        <v>4.99</v>
      </c>
      <c r="E514" s="2">
        <f>Portfolio_Data_ProductGroups[[#This Row],[Profit_EUR_m]]/Portfolio_Data_ProductGroups[[#This Row],[Revenue_EUR_m]]</f>
        <v>0.22528216704288942</v>
      </c>
    </row>
    <row r="515" spans="1:5" x14ac:dyDescent="0.3">
      <c r="A515" t="s">
        <v>521</v>
      </c>
      <c r="B515" t="s">
        <v>5</v>
      </c>
      <c r="C515">
        <v>13.06</v>
      </c>
      <c r="D515">
        <v>2.7</v>
      </c>
      <c r="E515" s="2">
        <f>Portfolio_Data_ProductGroups[[#This Row],[Profit_EUR_m]]/Portfolio_Data_ProductGroups[[#This Row],[Revenue_EUR_m]]</f>
        <v>0.20673813169984687</v>
      </c>
    </row>
    <row r="516" spans="1:5" x14ac:dyDescent="0.3">
      <c r="A516" t="s">
        <v>522</v>
      </c>
      <c r="B516" t="s">
        <v>13</v>
      </c>
      <c r="C516">
        <v>6.02</v>
      </c>
      <c r="D516">
        <v>2.9</v>
      </c>
      <c r="E516" s="2">
        <f>Portfolio_Data_ProductGroups[[#This Row],[Profit_EUR_m]]/Portfolio_Data_ProductGroups[[#This Row],[Revenue_EUR_m]]</f>
        <v>0.48172757475083061</v>
      </c>
    </row>
    <row r="517" spans="1:5" x14ac:dyDescent="0.3">
      <c r="A517" t="s">
        <v>523</v>
      </c>
      <c r="B517" t="s">
        <v>5</v>
      </c>
      <c r="C517">
        <v>41.42</v>
      </c>
      <c r="D517">
        <v>9.9</v>
      </c>
      <c r="E517" s="2">
        <f>Portfolio_Data_ProductGroups[[#This Row],[Profit_EUR_m]]/Portfolio_Data_ProductGroups[[#This Row],[Revenue_EUR_m]]</f>
        <v>0.23901496861419605</v>
      </c>
    </row>
    <row r="518" spans="1:5" x14ac:dyDescent="0.3">
      <c r="A518" t="s">
        <v>524</v>
      </c>
      <c r="B518" t="s">
        <v>7</v>
      </c>
      <c r="C518">
        <v>13.91</v>
      </c>
      <c r="D518">
        <v>4.25</v>
      </c>
      <c r="E518" s="2">
        <f>Portfolio_Data_ProductGroups[[#This Row],[Profit_EUR_m]]/Portfolio_Data_ProductGroups[[#This Row],[Revenue_EUR_m]]</f>
        <v>0.30553558590941771</v>
      </c>
    </row>
    <row r="519" spans="1:5" x14ac:dyDescent="0.3">
      <c r="A519" t="s">
        <v>525</v>
      </c>
      <c r="B519" t="s">
        <v>5</v>
      </c>
      <c r="C519">
        <v>39.83</v>
      </c>
      <c r="D519">
        <v>10.029999999999999</v>
      </c>
      <c r="E519" s="2">
        <f>Portfolio_Data_ProductGroups[[#This Row],[Profit_EUR_m]]/Portfolio_Data_ProductGroups[[#This Row],[Revenue_EUR_m]]</f>
        <v>0.25182023600301279</v>
      </c>
    </row>
    <row r="520" spans="1:5" x14ac:dyDescent="0.3">
      <c r="A520" t="s">
        <v>526</v>
      </c>
      <c r="B520" t="s">
        <v>13</v>
      </c>
      <c r="C520">
        <v>7.48</v>
      </c>
      <c r="D520">
        <v>1.87</v>
      </c>
      <c r="E520" s="2">
        <f>Portfolio_Data_ProductGroups[[#This Row],[Profit_EUR_m]]/Portfolio_Data_ProductGroups[[#This Row],[Revenue_EUR_m]]</f>
        <v>0.25</v>
      </c>
    </row>
    <row r="521" spans="1:5" x14ac:dyDescent="0.3">
      <c r="A521" t="s">
        <v>527</v>
      </c>
      <c r="B521" t="s">
        <v>7</v>
      </c>
      <c r="C521">
        <v>5</v>
      </c>
      <c r="D521">
        <v>1.26</v>
      </c>
      <c r="E521" s="2">
        <f>Portfolio_Data_ProductGroups[[#This Row],[Profit_EUR_m]]/Portfolio_Data_ProductGroups[[#This Row],[Revenue_EUR_m]]</f>
        <v>0.252</v>
      </c>
    </row>
    <row r="522" spans="1:5" x14ac:dyDescent="0.3">
      <c r="A522" t="s">
        <v>528</v>
      </c>
      <c r="B522" t="s">
        <v>5</v>
      </c>
      <c r="C522">
        <v>6.55</v>
      </c>
      <c r="D522">
        <v>1.6</v>
      </c>
      <c r="E522" s="2">
        <f>Portfolio_Data_ProductGroups[[#This Row],[Profit_EUR_m]]/Portfolio_Data_ProductGroups[[#This Row],[Revenue_EUR_m]]</f>
        <v>0.24427480916030536</v>
      </c>
    </row>
    <row r="523" spans="1:5" x14ac:dyDescent="0.3">
      <c r="A523" t="s">
        <v>529</v>
      </c>
      <c r="B523" t="s">
        <v>7</v>
      </c>
      <c r="C523">
        <v>19.25</v>
      </c>
      <c r="D523">
        <v>5.58</v>
      </c>
      <c r="E523" s="2">
        <f>Portfolio_Data_ProductGroups[[#This Row],[Profit_EUR_m]]/Portfolio_Data_ProductGroups[[#This Row],[Revenue_EUR_m]]</f>
        <v>0.28987012987012989</v>
      </c>
    </row>
    <row r="524" spans="1:5" x14ac:dyDescent="0.3">
      <c r="A524" t="s">
        <v>530</v>
      </c>
      <c r="B524" t="s">
        <v>7</v>
      </c>
      <c r="C524">
        <v>5.35</v>
      </c>
      <c r="D524">
        <v>1.45</v>
      </c>
      <c r="E524" s="2">
        <f>Portfolio_Data_ProductGroups[[#This Row],[Profit_EUR_m]]/Portfolio_Data_ProductGroups[[#This Row],[Revenue_EUR_m]]</f>
        <v>0.2710280373831776</v>
      </c>
    </row>
    <row r="525" spans="1:5" x14ac:dyDescent="0.3">
      <c r="A525" t="s">
        <v>531</v>
      </c>
      <c r="B525" t="s">
        <v>5</v>
      </c>
      <c r="C525">
        <v>24.69</v>
      </c>
      <c r="D525">
        <v>7.21</v>
      </c>
      <c r="E525" s="2">
        <f>Portfolio_Data_ProductGroups[[#This Row],[Profit_EUR_m]]/Portfolio_Data_ProductGroups[[#This Row],[Revenue_EUR_m]]</f>
        <v>0.29202106115836368</v>
      </c>
    </row>
    <row r="526" spans="1:5" x14ac:dyDescent="0.3">
      <c r="A526" t="s">
        <v>532</v>
      </c>
      <c r="B526" t="s">
        <v>5</v>
      </c>
      <c r="C526">
        <v>61.03</v>
      </c>
      <c r="D526">
        <v>15.26</v>
      </c>
      <c r="E526" s="2">
        <f>Portfolio_Data_ProductGroups[[#This Row],[Profit_EUR_m]]/Portfolio_Data_ProductGroups[[#This Row],[Revenue_EUR_m]]</f>
        <v>0.25004096346059312</v>
      </c>
    </row>
    <row r="527" spans="1:5" x14ac:dyDescent="0.3">
      <c r="A527" t="s">
        <v>533</v>
      </c>
      <c r="B527" t="s">
        <v>7</v>
      </c>
      <c r="C527">
        <v>57.58</v>
      </c>
      <c r="D527">
        <v>15.49</v>
      </c>
      <c r="E527" s="2">
        <f>Portfolio_Data_ProductGroups[[#This Row],[Profit_EUR_m]]/Portfolio_Data_ProductGroups[[#This Row],[Revenue_EUR_m]]</f>
        <v>0.26901701979854115</v>
      </c>
    </row>
    <row r="528" spans="1:5" x14ac:dyDescent="0.3">
      <c r="A528" t="s">
        <v>534</v>
      </c>
      <c r="B528" t="s">
        <v>5</v>
      </c>
      <c r="C528">
        <v>22.96</v>
      </c>
      <c r="D528">
        <v>8.17</v>
      </c>
      <c r="E528" s="2">
        <f>Portfolio_Data_ProductGroups[[#This Row],[Profit_EUR_m]]/Portfolio_Data_ProductGroups[[#This Row],[Revenue_EUR_m]]</f>
        <v>0.3558362369337979</v>
      </c>
    </row>
    <row r="529" spans="1:5" x14ac:dyDescent="0.3">
      <c r="A529" t="s">
        <v>535</v>
      </c>
      <c r="B529" t="s">
        <v>5</v>
      </c>
      <c r="C529">
        <v>36.450000000000003</v>
      </c>
      <c r="D529">
        <v>7.27</v>
      </c>
      <c r="E529" s="2">
        <f>Portfolio_Data_ProductGroups[[#This Row],[Profit_EUR_m]]/Portfolio_Data_ProductGroups[[#This Row],[Revenue_EUR_m]]</f>
        <v>0.19945130315500684</v>
      </c>
    </row>
    <row r="530" spans="1:5" x14ac:dyDescent="0.3">
      <c r="A530" t="s">
        <v>536</v>
      </c>
      <c r="B530" t="s">
        <v>5</v>
      </c>
      <c r="C530">
        <v>8.7899999999999991</v>
      </c>
      <c r="D530">
        <v>1.53</v>
      </c>
      <c r="E530" s="2">
        <f>Portfolio_Data_ProductGroups[[#This Row],[Profit_EUR_m]]/Portfolio_Data_ProductGroups[[#This Row],[Revenue_EUR_m]]</f>
        <v>0.17406143344709898</v>
      </c>
    </row>
    <row r="531" spans="1:5" x14ac:dyDescent="0.3">
      <c r="A531" t="s">
        <v>537</v>
      </c>
      <c r="B531" t="s">
        <v>7</v>
      </c>
      <c r="C531">
        <v>20.21</v>
      </c>
      <c r="D531">
        <v>4.79</v>
      </c>
      <c r="E531" s="2">
        <f>Portfolio_Data_ProductGroups[[#This Row],[Profit_EUR_m]]/Portfolio_Data_ProductGroups[[#This Row],[Revenue_EUR_m]]</f>
        <v>0.23701138050470064</v>
      </c>
    </row>
    <row r="532" spans="1:5" x14ac:dyDescent="0.3">
      <c r="A532" t="s">
        <v>538</v>
      </c>
      <c r="B532" t="s">
        <v>5</v>
      </c>
      <c r="C532">
        <v>23.56</v>
      </c>
      <c r="D532">
        <v>9.39</v>
      </c>
      <c r="E532" s="2">
        <f>Portfolio_Data_ProductGroups[[#This Row],[Profit_EUR_m]]/Portfolio_Data_ProductGroups[[#This Row],[Revenue_EUR_m]]</f>
        <v>0.39855687606112061</v>
      </c>
    </row>
    <row r="533" spans="1:5" x14ac:dyDescent="0.3">
      <c r="A533" t="s">
        <v>539</v>
      </c>
      <c r="B533" t="s">
        <v>9</v>
      </c>
      <c r="C533">
        <v>25.08</v>
      </c>
      <c r="D533">
        <v>2.38</v>
      </c>
      <c r="E533" s="2">
        <f>Portfolio_Data_ProductGroups[[#This Row],[Profit_EUR_m]]/Portfolio_Data_ProductGroups[[#This Row],[Revenue_EUR_m]]</f>
        <v>9.4896331738437006E-2</v>
      </c>
    </row>
    <row r="534" spans="1:5" x14ac:dyDescent="0.3">
      <c r="A534" t="s">
        <v>540</v>
      </c>
      <c r="B534" t="s">
        <v>5</v>
      </c>
      <c r="C534">
        <v>11.27</v>
      </c>
      <c r="D534">
        <v>1.83</v>
      </c>
      <c r="E534" s="2">
        <f>Portfolio_Data_ProductGroups[[#This Row],[Profit_EUR_m]]/Portfolio_Data_ProductGroups[[#This Row],[Revenue_EUR_m]]</f>
        <v>0.16237799467613134</v>
      </c>
    </row>
    <row r="535" spans="1:5" x14ac:dyDescent="0.3">
      <c r="A535" t="s">
        <v>541</v>
      </c>
      <c r="B535" t="s">
        <v>5</v>
      </c>
      <c r="C535">
        <v>5.17</v>
      </c>
      <c r="D535">
        <v>1.36</v>
      </c>
      <c r="E535" s="2">
        <f>Portfolio_Data_ProductGroups[[#This Row],[Profit_EUR_m]]/Portfolio_Data_ProductGroups[[#This Row],[Revenue_EUR_m]]</f>
        <v>0.26305609284332693</v>
      </c>
    </row>
    <row r="536" spans="1:5" x14ac:dyDescent="0.3">
      <c r="A536" t="s">
        <v>542</v>
      </c>
      <c r="B536" t="s">
        <v>5</v>
      </c>
      <c r="C536">
        <v>15.45</v>
      </c>
      <c r="D536">
        <v>3.24</v>
      </c>
      <c r="E536" s="2">
        <f>Portfolio_Data_ProductGroups[[#This Row],[Profit_EUR_m]]/Portfolio_Data_ProductGroups[[#This Row],[Revenue_EUR_m]]</f>
        <v>0.2097087378640777</v>
      </c>
    </row>
    <row r="537" spans="1:5" x14ac:dyDescent="0.3">
      <c r="A537" t="s">
        <v>543</v>
      </c>
      <c r="B537" t="s">
        <v>7</v>
      </c>
      <c r="C537">
        <v>12.86</v>
      </c>
      <c r="D537">
        <v>4.5199999999999996</v>
      </c>
      <c r="E537" s="2">
        <f>Portfolio_Data_ProductGroups[[#This Row],[Profit_EUR_m]]/Portfolio_Data_ProductGroups[[#This Row],[Revenue_EUR_m]]</f>
        <v>0.35147744945567649</v>
      </c>
    </row>
    <row r="538" spans="1:5" x14ac:dyDescent="0.3">
      <c r="A538" t="s">
        <v>544</v>
      </c>
      <c r="B538" t="s">
        <v>5</v>
      </c>
      <c r="C538">
        <v>35.46</v>
      </c>
      <c r="D538">
        <v>9.24</v>
      </c>
      <c r="E538" s="2">
        <f>Portfolio_Data_ProductGroups[[#This Row],[Profit_EUR_m]]/Portfolio_Data_ProductGroups[[#This Row],[Revenue_EUR_m]]</f>
        <v>0.26057529610829105</v>
      </c>
    </row>
    <row r="539" spans="1:5" x14ac:dyDescent="0.3">
      <c r="A539" t="s">
        <v>545</v>
      </c>
      <c r="B539" t="s">
        <v>5</v>
      </c>
      <c r="C539">
        <v>10.62</v>
      </c>
      <c r="D539">
        <v>2.75</v>
      </c>
      <c r="E539" s="2">
        <f>Portfolio_Data_ProductGroups[[#This Row],[Profit_EUR_m]]/Portfolio_Data_ProductGroups[[#This Row],[Revenue_EUR_m]]</f>
        <v>0.25894538606403017</v>
      </c>
    </row>
    <row r="540" spans="1:5" x14ac:dyDescent="0.3">
      <c r="A540" t="s">
        <v>546</v>
      </c>
      <c r="B540" t="s">
        <v>13</v>
      </c>
      <c r="C540">
        <v>25.51</v>
      </c>
      <c r="D540">
        <v>8.7799999999999994</v>
      </c>
      <c r="E540" s="2">
        <f>Portfolio_Data_ProductGroups[[#This Row],[Profit_EUR_m]]/Portfolio_Data_ProductGroups[[#This Row],[Revenue_EUR_m]]</f>
        <v>0.34417875343002741</v>
      </c>
    </row>
    <row r="541" spans="1:5" x14ac:dyDescent="0.3">
      <c r="A541" t="s">
        <v>547</v>
      </c>
      <c r="B541" t="s">
        <v>5</v>
      </c>
      <c r="C541">
        <v>15.14</v>
      </c>
      <c r="D541">
        <v>4.2699999999999996</v>
      </c>
      <c r="E541" s="2">
        <f>Portfolio_Data_ProductGroups[[#This Row],[Profit_EUR_m]]/Portfolio_Data_ProductGroups[[#This Row],[Revenue_EUR_m]]</f>
        <v>0.28203434610303829</v>
      </c>
    </row>
    <row r="542" spans="1:5" x14ac:dyDescent="0.3">
      <c r="A542" t="s">
        <v>548</v>
      </c>
      <c r="B542" t="s">
        <v>5</v>
      </c>
      <c r="C542">
        <v>9.23</v>
      </c>
      <c r="D542">
        <v>2.08</v>
      </c>
      <c r="E542" s="2">
        <f>Portfolio_Data_ProductGroups[[#This Row],[Profit_EUR_m]]/Portfolio_Data_ProductGroups[[#This Row],[Revenue_EUR_m]]</f>
        <v>0.22535211267605634</v>
      </c>
    </row>
    <row r="543" spans="1:5" x14ac:dyDescent="0.3">
      <c r="A543" t="s">
        <v>549</v>
      </c>
      <c r="B543" t="s">
        <v>5</v>
      </c>
      <c r="C543">
        <v>15.45</v>
      </c>
      <c r="D543">
        <v>4.3600000000000003</v>
      </c>
      <c r="E543" s="2">
        <f>Portfolio_Data_ProductGroups[[#This Row],[Profit_EUR_m]]/Portfolio_Data_ProductGroups[[#This Row],[Revenue_EUR_m]]</f>
        <v>0.28220064724919097</v>
      </c>
    </row>
    <row r="544" spans="1:5" x14ac:dyDescent="0.3">
      <c r="A544" t="s">
        <v>550</v>
      </c>
      <c r="B544" t="s">
        <v>7</v>
      </c>
      <c r="C544">
        <v>14.21</v>
      </c>
      <c r="D544">
        <v>3.61</v>
      </c>
      <c r="E544" s="2">
        <f>Portfolio_Data_ProductGroups[[#This Row],[Profit_EUR_m]]/Portfolio_Data_ProductGroups[[#This Row],[Revenue_EUR_m]]</f>
        <v>0.25404644616467276</v>
      </c>
    </row>
    <row r="545" spans="1:5" x14ac:dyDescent="0.3">
      <c r="A545" t="s">
        <v>551</v>
      </c>
      <c r="B545" t="s">
        <v>13</v>
      </c>
      <c r="C545">
        <v>6.53</v>
      </c>
      <c r="D545">
        <v>2.7</v>
      </c>
      <c r="E545" s="2">
        <f>Portfolio_Data_ProductGroups[[#This Row],[Profit_EUR_m]]/Portfolio_Data_ProductGroups[[#This Row],[Revenue_EUR_m]]</f>
        <v>0.41347626339969373</v>
      </c>
    </row>
    <row r="546" spans="1:5" x14ac:dyDescent="0.3">
      <c r="A546" t="s">
        <v>552</v>
      </c>
      <c r="B546" t="s">
        <v>7</v>
      </c>
      <c r="C546">
        <v>14.55</v>
      </c>
      <c r="D546">
        <v>4.0999999999999996</v>
      </c>
      <c r="E546" s="2">
        <f>Portfolio_Data_ProductGroups[[#This Row],[Profit_EUR_m]]/Portfolio_Data_ProductGroups[[#This Row],[Revenue_EUR_m]]</f>
        <v>0.28178694158075596</v>
      </c>
    </row>
    <row r="547" spans="1:5" x14ac:dyDescent="0.3">
      <c r="A547" t="s">
        <v>553</v>
      </c>
      <c r="B547" t="s">
        <v>5</v>
      </c>
      <c r="C547">
        <v>16.02</v>
      </c>
      <c r="D547">
        <v>3.9</v>
      </c>
      <c r="E547" s="2">
        <f>Portfolio_Data_ProductGroups[[#This Row],[Profit_EUR_m]]/Portfolio_Data_ProductGroups[[#This Row],[Revenue_EUR_m]]</f>
        <v>0.24344569288389514</v>
      </c>
    </row>
    <row r="548" spans="1:5" x14ac:dyDescent="0.3">
      <c r="A548" t="s">
        <v>554</v>
      </c>
      <c r="B548" t="s">
        <v>7</v>
      </c>
      <c r="C548">
        <v>12.61</v>
      </c>
      <c r="D548">
        <v>3</v>
      </c>
      <c r="E548" s="2">
        <f>Portfolio_Data_ProductGroups[[#This Row],[Profit_EUR_m]]/Portfolio_Data_ProductGroups[[#This Row],[Revenue_EUR_m]]</f>
        <v>0.2379064234734338</v>
      </c>
    </row>
    <row r="549" spans="1:5" x14ac:dyDescent="0.3">
      <c r="A549" t="s">
        <v>555</v>
      </c>
      <c r="B549" t="s">
        <v>9</v>
      </c>
      <c r="C549">
        <v>20.170000000000002</v>
      </c>
      <c r="D549">
        <v>3.77</v>
      </c>
      <c r="E549" s="2">
        <f>Portfolio_Data_ProductGroups[[#This Row],[Profit_EUR_m]]/Portfolio_Data_ProductGroups[[#This Row],[Revenue_EUR_m]]</f>
        <v>0.18691125433812592</v>
      </c>
    </row>
    <row r="550" spans="1:5" x14ac:dyDescent="0.3">
      <c r="A550" t="s">
        <v>556</v>
      </c>
      <c r="B550" t="s">
        <v>13</v>
      </c>
      <c r="C550">
        <v>11.25</v>
      </c>
      <c r="D550">
        <v>2.89</v>
      </c>
      <c r="E550" s="2">
        <f>Portfolio_Data_ProductGroups[[#This Row],[Profit_EUR_m]]/Portfolio_Data_ProductGroups[[#This Row],[Revenue_EUR_m]]</f>
        <v>0.25688888888888889</v>
      </c>
    </row>
    <row r="551" spans="1:5" x14ac:dyDescent="0.3">
      <c r="A551" t="s">
        <v>557</v>
      </c>
      <c r="B551" t="s">
        <v>9</v>
      </c>
      <c r="C551">
        <v>15.31</v>
      </c>
      <c r="D551">
        <v>3.71</v>
      </c>
      <c r="E551" s="2">
        <f>Portfolio_Data_ProductGroups[[#This Row],[Profit_EUR_m]]/Portfolio_Data_ProductGroups[[#This Row],[Revenue_EUR_m]]</f>
        <v>0.24232527759634226</v>
      </c>
    </row>
    <row r="552" spans="1:5" x14ac:dyDescent="0.3">
      <c r="A552" t="s">
        <v>558</v>
      </c>
      <c r="B552" t="s">
        <v>5</v>
      </c>
      <c r="C552">
        <v>21.53</v>
      </c>
      <c r="D552">
        <v>5.96</v>
      </c>
      <c r="E552" s="2">
        <f>Portfolio_Data_ProductGroups[[#This Row],[Profit_EUR_m]]/Portfolio_Data_ProductGroups[[#This Row],[Revenue_EUR_m]]</f>
        <v>0.2768230376219229</v>
      </c>
    </row>
    <row r="553" spans="1:5" x14ac:dyDescent="0.3">
      <c r="A553" t="s">
        <v>559</v>
      </c>
      <c r="B553" t="s">
        <v>9</v>
      </c>
      <c r="C553">
        <v>17.97</v>
      </c>
      <c r="D553">
        <v>3.58</v>
      </c>
      <c r="E553" s="2">
        <f>Portfolio_Data_ProductGroups[[#This Row],[Profit_EUR_m]]/Portfolio_Data_ProductGroups[[#This Row],[Revenue_EUR_m]]</f>
        <v>0.19922092376182529</v>
      </c>
    </row>
    <row r="554" spans="1:5" x14ac:dyDescent="0.3">
      <c r="A554" t="s">
        <v>560</v>
      </c>
      <c r="B554" t="s">
        <v>9</v>
      </c>
      <c r="C554">
        <v>34.19</v>
      </c>
      <c r="D554">
        <v>9.3000000000000007</v>
      </c>
      <c r="E554" s="2">
        <f>Portfolio_Data_ProductGroups[[#This Row],[Profit_EUR_m]]/Portfolio_Data_ProductGroups[[#This Row],[Revenue_EUR_m]]</f>
        <v>0.27200935946183097</v>
      </c>
    </row>
    <row r="555" spans="1:5" x14ac:dyDescent="0.3">
      <c r="A555" t="s">
        <v>561</v>
      </c>
      <c r="B555" t="s">
        <v>7</v>
      </c>
      <c r="C555">
        <v>3.16</v>
      </c>
      <c r="D555">
        <v>1.1499999999999999</v>
      </c>
      <c r="E555" s="2">
        <f>Portfolio_Data_ProductGroups[[#This Row],[Profit_EUR_m]]/Portfolio_Data_ProductGroups[[#This Row],[Revenue_EUR_m]]</f>
        <v>0.36392405063291133</v>
      </c>
    </row>
    <row r="556" spans="1:5" x14ac:dyDescent="0.3">
      <c r="A556" t="s">
        <v>562</v>
      </c>
      <c r="B556" t="s">
        <v>7</v>
      </c>
      <c r="C556">
        <v>10.14</v>
      </c>
      <c r="D556">
        <v>2.4900000000000002</v>
      </c>
      <c r="E556" s="2">
        <f>Portfolio_Data_ProductGroups[[#This Row],[Profit_EUR_m]]/Portfolio_Data_ProductGroups[[#This Row],[Revenue_EUR_m]]</f>
        <v>0.2455621301775148</v>
      </c>
    </row>
    <row r="557" spans="1:5" x14ac:dyDescent="0.3">
      <c r="A557" t="s">
        <v>563</v>
      </c>
      <c r="B557" t="s">
        <v>7</v>
      </c>
      <c r="C557">
        <v>16.82</v>
      </c>
      <c r="D557">
        <v>5.35</v>
      </c>
      <c r="E557" s="2">
        <f>Portfolio_Data_ProductGroups[[#This Row],[Profit_EUR_m]]/Portfolio_Data_ProductGroups[[#This Row],[Revenue_EUR_m]]</f>
        <v>0.31807372175980975</v>
      </c>
    </row>
    <row r="558" spans="1:5" x14ac:dyDescent="0.3">
      <c r="A558" t="s">
        <v>564</v>
      </c>
      <c r="B558" t="s">
        <v>5</v>
      </c>
      <c r="C558">
        <v>4.0999999999999996</v>
      </c>
      <c r="D558">
        <v>0.86</v>
      </c>
      <c r="E558" s="2">
        <f>Portfolio_Data_ProductGroups[[#This Row],[Profit_EUR_m]]/Portfolio_Data_ProductGroups[[#This Row],[Revenue_EUR_m]]</f>
        <v>0.20975609756097563</v>
      </c>
    </row>
    <row r="559" spans="1:5" x14ac:dyDescent="0.3">
      <c r="A559" t="s">
        <v>565</v>
      </c>
      <c r="B559" t="s">
        <v>9</v>
      </c>
      <c r="C559">
        <v>6.55</v>
      </c>
      <c r="D559">
        <v>1.59</v>
      </c>
      <c r="E559" s="2">
        <f>Portfolio_Data_ProductGroups[[#This Row],[Profit_EUR_m]]/Portfolio_Data_ProductGroups[[#This Row],[Revenue_EUR_m]]</f>
        <v>0.24274809160305347</v>
      </c>
    </row>
    <row r="560" spans="1:5" x14ac:dyDescent="0.3">
      <c r="A560" t="s">
        <v>566</v>
      </c>
      <c r="B560" t="s">
        <v>5</v>
      </c>
      <c r="C560">
        <v>20.09</v>
      </c>
      <c r="D560">
        <v>5.3</v>
      </c>
      <c r="E560" s="2">
        <f>Portfolio_Data_ProductGroups[[#This Row],[Profit_EUR_m]]/Portfolio_Data_ProductGroups[[#This Row],[Revenue_EUR_m]]</f>
        <v>0.26381284221005474</v>
      </c>
    </row>
    <row r="561" spans="1:5" x14ac:dyDescent="0.3">
      <c r="A561" t="s">
        <v>567</v>
      </c>
      <c r="B561" t="s">
        <v>9</v>
      </c>
      <c r="C561">
        <v>14.61</v>
      </c>
      <c r="D561">
        <v>3.16</v>
      </c>
      <c r="E561" s="2">
        <f>Portfolio_Data_ProductGroups[[#This Row],[Profit_EUR_m]]/Portfolio_Data_ProductGroups[[#This Row],[Revenue_EUR_m]]</f>
        <v>0.21629021218343603</v>
      </c>
    </row>
    <row r="562" spans="1:5" x14ac:dyDescent="0.3">
      <c r="A562" t="s">
        <v>568</v>
      </c>
      <c r="B562" t="s">
        <v>5</v>
      </c>
      <c r="C562">
        <v>22.2</v>
      </c>
      <c r="D562">
        <v>5.21</v>
      </c>
      <c r="E562" s="2">
        <f>Portfolio_Data_ProductGroups[[#This Row],[Profit_EUR_m]]/Portfolio_Data_ProductGroups[[#This Row],[Revenue_EUR_m]]</f>
        <v>0.2346846846846847</v>
      </c>
    </row>
    <row r="563" spans="1:5" x14ac:dyDescent="0.3">
      <c r="A563" t="s">
        <v>569</v>
      </c>
      <c r="B563" t="s">
        <v>7</v>
      </c>
      <c r="C563">
        <v>6.03</v>
      </c>
      <c r="D563">
        <v>2</v>
      </c>
      <c r="E563" s="2">
        <f>Portfolio_Data_ProductGroups[[#This Row],[Profit_EUR_m]]/Portfolio_Data_ProductGroups[[#This Row],[Revenue_EUR_m]]</f>
        <v>0.33167495854063017</v>
      </c>
    </row>
    <row r="564" spans="1:5" x14ac:dyDescent="0.3">
      <c r="A564" t="s">
        <v>570</v>
      </c>
      <c r="B564" t="s">
        <v>13</v>
      </c>
      <c r="C564">
        <v>1.66</v>
      </c>
      <c r="D564">
        <v>0.67</v>
      </c>
      <c r="E564" s="2">
        <f>Portfolio_Data_ProductGroups[[#This Row],[Profit_EUR_m]]/Portfolio_Data_ProductGroups[[#This Row],[Revenue_EUR_m]]</f>
        <v>0.40361445783132532</v>
      </c>
    </row>
    <row r="565" spans="1:5" x14ac:dyDescent="0.3">
      <c r="A565" t="s">
        <v>571</v>
      </c>
      <c r="B565" t="s">
        <v>9</v>
      </c>
      <c r="C565">
        <v>26.51</v>
      </c>
      <c r="D565">
        <v>2.97</v>
      </c>
      <c r="E565" s="2">
        <f>Portfolio_Data_ProductGroups[[#This Row],[Profit_EUR_m]]/Portfolio_Data_ProductGroups[[#This Row],[Revenue_EUR_m]]</f>
        <v>0.11203319502074689</v>
      </c>
    </row>
    <row r="566" spans="1:5" x14ac:dyDescent="0.3">
      <c r="A566" t="s">
        <v>572</v>
      </c>
      <c r="B566" t="s">
        <v>5</v>
      </c>
      <c r="C566">
        <v>31.49</v>
      </c>
      <c r="D566">
        <v>8.33</v>
      </c>
      <c r="E566" s="2">
        <f>Portfolio_Data_ProductGroups[[#This Row],[Profit_EUR_m]]/Portfolio_Data_ProductGroups[[#This Row],[Revenue_EUR_m]]</f>
        <v>0.26452842172118135</v>
      </c>
    </row>
    <row r="567" spans="1:5" x14ac:dyDescent="0.3">
      <c r="A567" t="s">
        <v>573</v>
      </c>
      <c r="B567" t="s">
        <v>7</v>
      </c>
      <c r="C567">
        <v>10.130000000000001</v>
      </c>
      <c r="D567">
        <v>2.83</v>
      </c>
      <c r="E567" s="2">
        <f>Portfolio_Data_ProductGroups[[#This Row],[Profit_EUR_m]]/Portfolio_Data_ProductGroups[[#This Row],[Revenue_EUR_m]]</f>
        <v>0.27936821322803551</v>
      </c>
    </row>
    <row r="568" spans="1:5" x14ac:dyDescent="0.3">
      <c r="A568" t="s">
        <v>574</v>
      </c>
      <c r="B568" t="s">
        <v>9</v>
      </c>
      <c r="C568">
        <v>63.65</v>
      </c>
      <c r="D568">
        <v>15.08</v>
      </c>
      <c r="E568" s="2">
        <f>Portfolio_Data_ProductGroups[[#This Row],[Profit_EUR_m]]/Portfolio_Data_ProductGroups[[#This Row],[Revenue_EUR_m]]</f>
        <v>0.23692065985860172</v>
      </c>
    </row>
    <row r="569" spans="1:5" x14ac:dyDescent="0.3">
      <c r="A569" t="s">
        <v>575</v>
      </c>
      <c r="B569" t="s">
        <v>13</v>
      </c>
      <c r="C569">
        <v>5.83</v>
      </c>
      <c r="D569">
        <v>2.73</v>
      </c>
      <c r="E569" s="2">
        <f>Portfolio_Data_ProductGroups[[#This Row],[Profit_EUR_m]]/Portfolio_Data_ProductGroups[[#This Row],[Revenue_EUR_m]]</f>
        <v>0.46826758147512865</v>
      </c>
    </row>
    <row r="570" spans="1:5" x14ac:dyDescent="0.3">
      <c r="A570" t="s">
        <v>576</v>
      </c>
      <c r="B570" t="s">
        <v>5</v>
      </c>
      <c r="C570">
        <v>12.5</v>
      </c>
      <c r="D570">
        <v>3.03</v>
      </c>
      <c r="E570" s="2">
        <f>Portfolio_Data_ProductGroups[[#This Row],[Profit_EUR_m]]/Portfolio_Data_ProductGroups[[#This Row],[Revenue_EUR_m]]</f>
        <v>0.24239999999999998</v>
      </c>
    </row>
    <row r="571" spans="1:5" x14ac:dyDescent="0.3">
      <c r="A571" t="s">
        <v>577</v>
      </c>
      <c r="B571" t="s">
        <v>5</v>
      </c>
      <c r="C571">
        <v>10.58</v>
      </c>
      <c r="D571">
        <v>1.4</v>
      </c>
      <c r="E571" s="2">
        <f>Portfolio_Data_ProductGroups[[#This Row],[Profit_EUR_m]]/Portfolio_Data_ProductGroups[[#This Row],[Revenue_EUR_m]]</f>
        <v>0.1323251417769376</v>
      </c>
    </row>
    <row r="572" spans="1:5" x14ac:dyDescent="0.3">
      <c r="A572" t="s">
        <v>578</v>
      </c>
      <c r="B572" t="s">
        <v>7</v>
      </c>
      <c r="C572">
        <v>15.54</v>
      </c>
      <c r="D572">
        <v>3.1</v>
      </c>
      <c r="E572" s="2">
        <f>Portfolio_Data_ProductGroups[[#This Row],[Profit_EUR_m]]/Portfolio_Data_ProductGroups[[#This Row],[Revenue_EUR_m]]</f>
        <v>0.19948519948519949</v>
      </c>
    </row>
    <row r="573" spans="1:5" x14ac:dyDescent="0.3">
      <c r="A573" t="s">
        <v>579</v>
      </c>
      <c r="B573" t="s">
        <v>9</v>
      </c>
      <c r="C573">
        <v>7.52</v>
      </c>
      <c r="D573">
        <v>1.55</v>
      </c>
      <c r="E573" s="2">
        <f>Portfolio_Data_ProductGroups[[#This Row],[Profit_EUR_m]]/Portfolio_Data_ProductGroups[[#This Row],[Revenue_EUR_m]]</f>
        <v>0.20611702127659576</v>
      </c>
    </row>
    <row r="574" spans="1:5" x14ac:dyDescent="0.3">
      <c r="A574" t="s">
        <v>580</v>
      </c>
      <c r="B574" t="s">
        <v>9</v>
      </c>
      <c r="C574">
        <v>12.59</v>
      </c>
      <c r="D574">
        <v>2.23</v>
      </c>
      <c r="E574" s="2">
        <f>Portfolio_Data_ProductGroups[[#This Row],[Profit_EUR_m]]/Portfolio_Data_ProductGroups[[#This Row],[Revenue_EUR_m]]</f>
        <v>0.17712470214455917</v>
      </c>
    </row>
    <row r="575" spans="1:5" x14ac:dyDescent="0.3">
      <c r="A575" t="s">
        <v>581</v>
      </c>
      <c r="B575" t="s">
        <v>9</v>
      </c>
      <c r="C575">
        <v>23.47</v>
      </c>
      <c r="D575">
        <v>5.44</v>
      </c>
      <c r="E575" s="2">
        <f>Portfolio_Data_ProductGroups[[#This Row],[Profit_EUR_m]]/Portfolio_Data_ProductGroups[[#This Row],[Revenue_EUR_m]]</f>
        <v>0.23178525777588413</v>
      </c>
    </row>
    <row r="576" spans="1:5" x14ac:dyDescent="0.3">
      <c r="A576" t="s">
        <v>582</v>
      </c>
      <c r="B576" t="s">
        <v>13</v>
      </c>
      <c r="C576">
        <v>5.77</v>
      </c>
      <c r="D576">
        <v>2.39</v>
      </c>
      <c r="E576" s="2">
        <f>Portfolio_Data_ProductGroups[[#This Row],[Profit_EUR_m]]/Portfolio_Data_ProductGroups[[#This Row],[Revenue_EUR_m]]</f>
        <v>0.41421143847487008</v>
      </c>
    </row>
    <row r="577" spans="1:5" x14ac:dyDescent="0.3">
      <c r="A577" t="s">
        <v>583</v>
      </c>
      <c r="B577" t="s">
        <v>13</v>
      </c>
      <c r="C577">
        <v>30.57</v>
      </c>
      <c r="D577">
        <v>14.04</v>
      </c>
      <c r="E577" s="2">
        <f>Portfolio_Data_ProductGroups[[#This Row],[Profit_EUR_m]]/Portfolio_Data_ProductGroups[[#This Row],[Revenue_EUR_m]]</f>
        <v>0.45927379784102057</v>
      </c>
    </row>
    <row r="578" spans="1:5" x14ac:dyDescent="0.3">
      <c r="A578" t="s">
        <v>584</v>
      </c>
      <c r="B578" t="s">
        <v>13</v>
      </c>
      <c r="C578">
        <v>16.41</v>
      </c>
      <c r="D578">
        <v>5.1100000000000003</v>
      </c>
      <c r="E578" s="2">
        <f>Portfolio_Data_ProductGroups[[#This Row],[Profit_EUR_m]]/Portfolio_Data_ProductGroups[[#This Row],[Revenue_EUR_m]]</f>
        <v>0.31139549055453991</v>
      </c>
    </row>
    <row r="579" spans="1:5" x14ac:dyDescent="0.3">
      <c r="A579" t="s">
        <v>585</v>
      </c>
      <c r="B579" t="s">
        <v>5</v>
      </c>
      <c r="C579">
        <v>11.68</v>
      </c>
      <c r="D579">
        <v>2.44</v>
      </c>
      <c r="E579" s="2">
        <f>Portfolio_Data_ProductGroups[[#This Row],[Profit_EUR_m]]/Portfolio_Data_ProductGroups[[#This Row],[Revenue_EUR_m]]</f>
        <v>0.2089041095890411</v>
      </c>
    </row>
    <row r="580" spans="1:5" x14ac:dyDescent="0.3">
      <c r="A580" t="s">
        <v>586</v>
      </c>
      <c r="B580" t="s">
        <v>7</v>
      </c>
      <c r="C580">
        <v>39.85</v>
      </c>
      <c r="D580">
        <v>11.34</v>
      </c>
      <c r="E580" s="2">
        <f>Portfolio_Data_ProductGroups[[#This Row],[Profit_EUR_m]]/Portfolio_Data_ProductGroups[[#This Row],[Revenue_EUR_m]]</f>
        <v>0.28456712672521955</v>
      </c>
    </row>
    <row r="581" spans="1:5" x14ac:dyDescent="0.3">
      <c r="A581" t="s">
        <v>587</v>
      </c>
      <c r="B581" t="s">
        <v>5</v>
      </c>
      <c r="C581">
        <v>26.17</v>
      </c>
      <c r="D581">
        <v>4.72</v>
      </c>
      <c r="E581" s="2">
        <f>Portfolio_Data_ProductGroups[[#This Row],[Profit_EUR_m]]/Portfolio_Data_ProductGroups[[#This Row],[Revenue_EUR_m]]</f>
        <v>0.18035918991211308</v>
      </c>
    </row>
    <row r="582" spans="1:5" x14ac:dyDescent="0.3">
      <c r="A582" t="s">
        <v>588</v>
      </c>
      <c r="B582" t="s">
        <v>5</v>
      </c>
      <c r="C582">
        <v>12.81</v>
      </c>
      <c r="D582">
        <v>4.09</v>
      </c>
      <c r="E582" s="2">
        <f>Portfolio_Data_ProductGroups[[#This Row],[Profit_EUR_m]]/Portfolio_Data_ProductGroups[[#This Row],[Revenue_EUR_m]]</f>
        <v>0.31928181108508974</v>
      </c>
    </row>
    <row r="583" spans="1:5" x14ac:dyDescent="0.3">
      <c r="A583" t="s">
        <v>589</v>
      </c>
      <c r="B583" t="s">
        <v>5</v>
      </c>
      <c r="C583">
        <v>12.07</v>
      </c>
      <c r="D583">
        <v>3.38</v>
      </c>
      <c r="E583" s="2">
        <f>Portfolio_Data_ProductGroups[[#This Row],[Profit_EUR_m]]/Portfolio_Data_ProductGroups[[#This Row],[Revenue_EUR_m]]</f>
        <v>0.28003314001656998</v>
      </c>
    </row>
    <row r="584" spans="1:5" x14ac:dyDescent="0.3">
      <c r="A584" t="s">
        <v>590</v>
      </c>
      <c r="B584" t="s">
        <v>7</v>
      </c>
      <c r="C584">
        <v>7.94</v>
      </c>
      <c r="D584">
        <v>2.14</v>
      </c>
      <c r="E584" s="2">
        <f>Portfolio_Data_ProductGroups[[#This Row],[Profit_EUR_m]]/Portfolio_Data_ProductGroups[[#This Row],[Revenue_EUR_m]]</f>
        <v>0.26952141057934509</v>
      </c>
    </row>
    <row r="585" spans="1:5" x14ac:dyDescent="0.3">
      <c r="A585" t="s">
        <v>591</v>
      </c>
      <c r="B585" t="s">
        <v>7</v>
      </c>
      <c r="C585">
        <v>7.51</v>
      </c>
      <c r="D585">
        <v>2.19</v>
      </c>
      <c r="E585" s="2">
        <f>Portfolio_Data_ProductGroups[[#This Row],[Profit_EUR_m]]/Portfolio_Data_ProductGroups[[#This Row],[Revenue_EUR_m]]</f>
        <v>0.29161118508655126</v>
      </c>
    </row>
    <row r="586" spans="1:5" x14ac:dyDescent="0.3">
      <c r="A586" t="s">
        <v>592</v>
      </c>
      <c r="B586" t="s">
        <v>9</v>
      </c>
      <c r="C586">
        <v>68.88</v>
      </c>
      <c r="D586">
        <v>13.88</v>
      </c>
      <c r="E586" s="2">
        <f>Portfolio_Data_ProductGroups[[#This Row],[Profit_EUR_m]]/Portfolio_Data_ProductGroups[[#This Row],[Revenue_EUR_m]]</f>
        <v>0.2015098722415796</v>
      </c>
    </row>
    <row r="587" spans="1:5" x14ac:dyDescent="0.3">
      <c r="A587" t="s">
        <v>593</v>
      </c>
      <c r="B587" t="s">
        <v>5</v>
      </c>
      <c r="C587">
        <v>22.77</v>
      </c>
      <c r="D587">
        <v>5.72</v>
      </c>
      <c r="E587" s="2">
        <f>Portfolio_Data_ProductGroups[[#This Row],[Profit_EUR_m]]/Portfolio_Data_ProductGroups[[#This Row],[Revenue_EUR_m]]</f>
        <v>0.25120772946859904</v>
      </c>
    </row>
    <row r="588" spans="1:5" x14ac:dyDescent="0.3">
      <c r="A588" t="s">
        <v>594</v>
      </c>
      <c r="B588" t="s">
        <v>5</v>
      </c>
      <c r="C588">
        <v>10.61</v>
      </c>
      <c r="D588">
        <v>3.35</v>
      </c>
      <c r="E588" s="2">
        <f>Portfolio_Data_ProductGroups[[#This Row],[Profit_EUR_m]]/Portfolio_Data_ProductGroups[[#This Row],[Revenue_EUR_m]]</f>
        <v>0.31573986804901039</v>
      </c>
    </row>
    <row r="589" spans="1:5" x14ac:dyDescent="0.3">
      <c r="A589" t="s">
        <v>595</v>
      </c>
      <c r="B589" t="s">
        <v>9</v>
      </c>
      <c r="C589">
        <v>12.68</v>
      </c>
      <c r="D589">
        <v>1.44</v>
      </c>
      <c r="E589" s="2">
        <f>Portfolio_Data_ProductGroups[[#This Row],[Profit_EUR_m]]/Portfolio_Data_ProductGroups[[#This Row],[Revenue_EUR_m]]</f>
        <v>0.11356466876971609</v>
      </c>
    </row>
    <row r="590" spans="1:5" x14ac:dyDescent="0.3">
      <c r="A590" t="s">
        <v>596</v>
      </c>
      <c r="B590" t="s">
        <v>9</v>
      </c>
      <c r="C590">
        <v>47.98</v>
      </c>
      <c r="D590">
        <v>9.11</v>
      </c>
      <c r="E590" s="2">
        <f>Portfolio_Data_ProductGroups[[#This Row],[Profit_EUR_m]]/Portfolio_Data_ProductGroups[[#This Row],[Revenue_EUR_m]]</f>
        <v>0.18987077949145478</v>
      </c>
    </row>
    <row r="591" spans="1:5" x14ac:dyDescent="0.3">
      <c r="A591" t="s">
        <v>597</v>
      </c>
      <c r="B591" t="s">
        <v>13</v>
      </c>
      <c r="C591">
        <v>11.12</v>
      </c>
      <c r="D591">
        <v>4.4800000000000004</v>
      </c>
      <c r="E591" s="2">
        <f>Portfolio_Data_ProductGroups[[#This Row],[Profit_EUR_m]]/Portfolio_Data_ProductGroups[[#This Row],[Revenue_EUR_m]]</f>
        <v>0.40287769784172667</v>
      </c>
    </row>
    <row r="592" spans="1:5" x14ac:dyDescent="0.3">
      <c r="A592" t="s">
        <v>598</v>
      </c>
      <c r="B592" t="s">
        <v>9</v>
      </c>
      <c r="C592">
        <v>24.89</v>
      </c>
      <c r="D592">
        <v>3.7</v>
      </c>
      <c r="E592" s="2">
        <f>Portfolio_Data_ProductGroups[[#This Row],[Profit_EUR_m]]/Portfolio_Data_ProductGroups[[#This Row],[Revenue_EUR_m]]</f>
        <v>0.14865407794294899</v>
      </c>
    </row>
    <row r="593" spans="1:5" x14ac:dyDescent="0.3">
      <c r="A593" t="s">
        <v>599</v>
      </c>
      <c r="B593" t="s">
        <v>7</v>
      </c>
      <c r="C593">
        <v>11.59</v>
      </c>
      <c r="D593">
        <v>3.6</v>
      </c>
      <c r="E593" s="2">
        <f>Portfolio_Data_ProductGroups[[#This Row],[Profit_EUR_m]]/Portfolio_Data_ProductGroups[[#This Row],[Revenue_EUR_m]]</f>
        <v>0.31061259706643657</v>
      </c>
    </row>
    <row r="594" spans="1:5" x14ac:dyDescent="0.3">
      <c r="A594" t="s">
        <v>600</v>
      </c>
      <c r="B594" t="s">
        <v>7</v>
      </c>
      <c r="C594">
        <v>16.89</v>
      </c>
      <c r="D594">
        <v>3.8</v>
      </c>
      <c r="E594" s="2">
        <f>Portfolio_Data_ProductGroups[[#This Row],[Profit_EUR_m]]/Portfolio_Data_ProductGroups[[#This Row],[Revenue_EUR_m]]</f>
        <v>0.22498519834221431</v>
      </c>
    </row>
    <row r="595" spans="1:5" x14ac:dyDescent="0.3">
      <c r="A595" t="s">
        <v>601</v>
      </c>
      <c r="B595" t="s">
        <v>5</v>
      </c>
      <c r="C595">
        <v>81.599999999999994</v>
      </c>
      <c r="D595">
        <v>23.55</v>
      </c>
      <c r="E595" s="2">
        <f>Portfolio_Data_ProductGroups[[#This Row],[Profit_EUR_m]]/Portfolio_Data_ProductGroups[[#This Row],[Revenue_EUR_m]]</f>
        <v>0.28860294117647062</v>
      </c>
    </row>
    <row r="596" spans="1:5" x14ac:dyDescent="0.3">
      <c r="A596" t="s">
        <v>602</v>
      </c>
      <c r="B596" t="s">
        <v>9</v>
      </c>
      <c r="C596">
        <v>13.89</v>
      </c>
      <c r="D596">
        <v>4.5599999999999996</v>
      </c>
      <c r="E596" s="2">
        <f>Portfolio_Data_ProductGroups[[#This Row],[Profit_EUR_m]]/Portfolio_Data_ProductGroups[[#This Row],[Revenue_EUR_m]]</f>
        <v>0.32829373650107985</v>
      </c>
    </row>
    <row r="597" spans="1:5" x14ac:dyDescent="0.3">
      <c r="A597" t="s">
        <v>603</v>
      </c>
      <c r="B597" t="s">
        <v>5</v>
      </c>
      <c r="C597">
        <v>29.66</v>
      </c>
      <c r="D597">
        <v>7.11</v>
      </c>
      <c r="E597" s="2">
        <f>Portfolio_Data_ProductGroups[[#This Row],[Profit_EUR_m]]/Portfolio_Data_ProductGroups[[#This Row],[Revenue_EUR_m]]</f>
        <v>0.2397167902899528</v>
      </c>
    </row>
    <row r="598" spans="1:5" x14ac:dyDescent="0.3">
      <c r="A598" t="s">
        <v>604</v>
      </c>
      <c r="B598" t="s">
        <v>5</v>
      </c>
      <c r="C598">
        <v>28.59</v>
      </c>
      <c r="D598">
        <v>8.7200000000000006</v>
      </c>
      <c r="E598" s="2">
        <f>Portfolio_Data_ProductGroups[[#This Row],[Profit_EUR_m]]/Portfolio_Data_ProductGroups[[#This Row],[Revenue_EUR_m]]</f>
        <v>0.30500174886323894</v>
      </c>
    </row>
    <row r="599" spans="1:5" x14ac:dyDescent="0.3">
      <c r="A599" t="s">
        <v>605</v>
      </c>
      <c r="B599" t="s">
        <v>7</v>
      </c>
      <c r="C599">
        <v>6.17</v>
      </c>
      <c r="D599">
        <v>1.91</v>
      </c>
      <c r="E599" s="2">
        <f>Portfolio_Data_ProductGroups[[#This Row],[Profit_EUR_m]]/Portfolio_Data_ProductGroups[[#This Row],[Revenue_EUR_m]]</f>
        <v>0.30956239870340357</v>
      </c>
    </row>
    <row r="600" spans="1:5" x14ac:dyDescent="0.3">
      <c r="A600" t="s">
        <v>606</v>
      </c>
      <c r="B600" t="s">
        <v>13</v>
      </c>
      <c r="C600">
        <v>13.63</v>
      </c>
      <c r="D600">
        <v>5.99</v>
      </c>
      <c r="E600" s="2">
        <f>Portfolio_Data_ProductGroups[[#This Row],[Profit_EUR_m]]/Portfolio_Data_ProductGroups[[#This Row],[Revenue_EUR_m]]</f>
        <v>0.43947175348495965</v>
      </c>
    </row>
    <row r="601" spans="1:5" x14ac:dyDescent="0.3">
      <c r="A601" t="s">
        <v>607</v>
      </c>
      <c r="B601" t="s">
        <v>5</v>
      </c>
      <c r="C601">
        <v>13.79</v>
      </c>
      <c r="D601">
        <v>3.66</v>
      </c>
      <c r="E601" s="2">
        <f>Portfolio_Data_ProductGroups[[#This Row],[Profit_EUR_m]]/Portfolio_Data_ProductGroups[[#This Row],[Revenue_EUR_m]]</f>
        <v>0.26540971718636697</v>
      </c>
    </row>
    <row r="602" spans="1:5" x14ac:dyDescent="0.3">
      <c r="A602" t="s">
        <v>608</v>
      </c>
      <c r="B602" t="s">
        <v>9</v>
      </c>
      <c r="C602">
        <v>130.19</v>
      </c>
      <c r="D602">
        <v>48.24</v>
      </c>
      <c r="E602" s="2">
        <f>Portfolio_Data_ProductGroups[[#This Row],[Profit_EUR_m]]/Portfolio_Data_ProductGroups[[#This Row],[Revenue_EUR_m]]</f>
        <v>0.37053537138029036</v>
      </c>
    </row>
    <row r="603" spans="1:5" x14ac:dyDescent="0.3">
      <c r="A603" t="s">
        <v>609</v>
      </c>
      <c r="B603" t="s">
        <v>5</v>
      </c>
      <c r="C603">
        <v>18.38</v>
      </c>
      <c r="D603">
        <v>5.53</v>
      </c>
      <c r="E603" s="2">
        <f>Portfolio_Data_ProductGroups[[#This Row],[Profit_EUR_m]]/Portfolio_Data_ProductGroups[[#This Row],[Revenue_EUR_m]]</f>
        <v>0.30087051142546251</v>
      </c>
    </row>
    <row r="604" spans="1:5" x14ac:dyDescent="0.3">
      <c r="A604" t="s">
        <v>610</v>
      </c>
      <c r="B604" t="s">
        <v>5</v>
      </c>
      <c r="C604">
        <v>10.130000000000001</v>
      </c>
      <c r="D604">
        <v>2.61</v>
      </c>
      <c r="E604" s="2">
        <f>Portfolio_Data_ProductGroups[[#This Row],[Profit_EUR_m]]/Portfolio_Data_ProductGroups[[#This Row],[Revenue_EUR_m]]</f>
        <v>0.2576505429417571</v>
      </c>
    </row>
    <row r="605" spans="1:5" x14ac:dyDescent="0.3">
      <c r="A605" t="s">
        <v>611</v>
      </c>
      <c r="B605" t="s">
        <v>7</v>
      </c>
      <c r="C605">
        <v>11.46</v>
      </c>
      <c r="D605">
        <v>2.92</v>
      </c>
      <c r="E605" s="2">
        <f>Portfolio_Data_ProductGroups[[#This Row],[Profit_EUR_m]]/Portfolio_Data_ProductGroups[[#This Row],[Revenue_EUR_m]]</f>
        <v>0.25479930191972072</v>
      </c>
    </row>
    <row r="606" spans="1:5" x14ac:dyDescent="0.3">
      <c r="A606" t="s">
        <v>612</v>
      </c>
      <c r="B606" t="s">
        <v>5</v>
      </c>
      <c r="C606">
        <v>5.17</v>
      </c>
      <c r="D606">
        <v>1.66</v>
      </c>
      <c r="E606" s="2">
        <f>Portfolio_Data_ProductGroups[[#This Row],[Profit_EUR_m]]/Portfolio_Data_ProductGroups[[#This Row],[Revenue_EUR_m]]</f>
        <v>0.32108317214700194</v>
      </c>
    </row>
    <row r="607" spans="1:5" x14ac:dyDescent="0.3">
      <c r="A607" t="s">
        <v>613</v>
      </c>
      <c r="B607" t="s">
        <v>9</v>
      </c>
      <c r="C607">
        <v>91.39</v>
      </c>
      <c r="D607">
        <v>14.63</v>
      </c>
      <c r="E607" s="2">
        <f>Portfolio_Data_ProductGroups[[#This Row],[Profit_EUR_m]]/Portfolio_Data_ProductGroups[[#This Row],[Revenue_EUR_m]]</f>
        <v>0.16008316008316009</v>
      </c>
    </row>
    <row r="608" spans="1:5" x14ac:dyDescent="0.3">
      <c r="A608" t="s">
        <v>614</v>
      </c>
      <c r="B608" t="s">
        <v>5</v>
      </c>
      <c r="C608">
        <v>8.98</v>
      </c>
      <c r="D608">
        <v>1.86</v>
      </c>
      <c r="E608" s="2">
        <f>Portfolio_Data_ProductGroups[[#This Row],[Profit_EUR_m]]/Portfolio_Data_ProductGroups[[#This Row],[Revenue_EUR_m]]</f>
        <v>0.20712694877505569</v>
      </c>
    </row>
    <row r="609" spans="1:5" x14ac:dyDescent="0.3">
      <c r="A609" t="s">
        <v>615</v>
      </c>
      <c r="B609" t="s">
        <v>5</v>
      </c>
      <c r="C609">
        <v>30.88</v>
      </c>
      <c r="D609">
        <v>7.99</v>
      </c>
      <c r="E609" s="2">
        <f>Portfolio_Data_ProductGroups[[#This Row],[Profit_EUR_m]]/Portfolio_Data_ProductGroups[[#This Row],[Revenue_EUR_m]]</f>
        <v>0.25874352331606221</v>
      </c>
    </row>
    <row r="610" spans="1:5" x14ac:dyDescent="0.3">
      <c r="A610" t="s">
        <v>616</v>
      </c>
      <c r="B610" t="s">
        <v>13</v>
      </c>
      <c r="C610">
        <v>7.17</v>
      </c>
      <c r="D610">
        <v>3.34</v>
      </c>
      <c r="E610" s="2">
        <f>Portfolio_Data_ProductGroups[[#This Row],[Profit_EUR_m]]/Portfolio_Data_ProductGroups[[#This Row],[Revenue_EUR_m]]</f>
        <v>0.46582984658298465</v>
      </c>
    </row>
    <row r="611" spans="1:5" x14ac:dyDescent="0.3">
      <c r="A611" t="s">
        <v>617</v>
      </c>
      <c r="B611" t="s">
        <v>7</v>
      </c>
      <c r="C611">
        <v>12.79</v>
      </c>
      <c r="D611">
        <v>4.3600000000000003</v>
      </c>
      <c r="E611" s="2">
        <f>Portfolio_Data_ProductGroups[[#This Row],[Profit_EUR_m]]/Portfolio_Data_ProductGroups[[#This Row],[Revenue_EUR_m]]</f>
        <v>0.34089132134480066</v>
      </c>
    </row>
    <row r="612" spans="1:5" x14ac:dyDescent="0.3">
      <c r="A612" t="s">
        <v>618</v>
      </c>
      <c r="B612" t="s">
        <v>13</v>
      </c>
      <c r="C612">
        <v>34.25</v>
      </c>
      <c r="D612">
        <v>10.01</v>
      </c>
      <c r="E612" s="2">
        <f>Portfolio_Data_ProductGroups[[#This Row],[Profit_EUR_m]]/Portfolio_Data_ProductGroups[[#This Row],[Revenue_EUR_m]]</f>
        <v>0.29226277372262771</v>
      </c>
    </row>
    <row r="613" spans="1:5" x14ac:dyDescent="0.3">
      <c r="A613" t="s">
        <v>619</v>
      </c>
      <c r="B613" t="s">
        <v>5</v>
      </c>
      <c r="C613">
        <v>24.06</v>
      </c>
      <c r="D613">
        <v>7.56</v>
      </c>
      <c r="E613" s="2">
        <f>Portfolio_Data_ProductGroups[[#This Row],[Profit_EUR_m]]/Portfolio_Data_ProductGroups[[#This Row],[Revenue_EUR_m]]</f>
        <v>0.31421446384039903</v>
      </c>
    </row>
    <row r="614" spans="1:5" x14ac:dyDescent="0.3">
      <c r="A614" t="s">
        <v>620</v>
      </c>
      <c r="B614" t="s">
        <v>9</v>
      </c>
      <c r="C614">
        <v>55.97</v>
      </c>
      <c r="D614">
        <v>10.79</v>
      </c>
      <c r="E614" s="2">
        <f>Portfolio_Data_ProductGroups[[#This Row],[Profit_EUR_m]]/Portfolio_Data_ProductGroups[[#This Row],[Revenue_EUR_m]]</f>
        <v>0.19278184741825977</v>
      </c>
    </row>
    <row r="615" spans="1:5" x14ac:dyDescent="0.3">
      <c r="A615" t="s">
        <v>621</v>
      </c>
      <c r="B615" t="s">
        <v>5</v>
      </c>
      <c r="C615">
        <v>12.84</v>
      </c>
      <c r="D615">
        <v>3.34</v>
      </c>
      <c r="E615" s="2">
        <f>Portfolio_Data_ProductGroups[[#This Row],[Profit_EUR_m]]/Portfolio_Data_ProductGroups[[#This Row],[Revenue_EUR_m]]</f>
        <v>0.26012461059190028</v>
      </c>
    </row>
    <row r="616" spans="1:5" x14ac:dyDescent="0.3">
      <c r="A616" t="s">
        <v>622</v>
      </c>
      <c r="B616" t="s">
        <v>5</v>
      </c>
      <c r="C616">
        <v>20.39</v>
      </c>
      <c r="D616">
        <v>4.57</v>
      </c>
      <c r="E616" s="2">
        <f>Portfolio_Data_ProductGroups[[#This Row],[Profit_EUR_m]]/Portfolio_Data_ProductGroups[[#This Row],[Revenue_EUR_m]]</f>
        <v>0.22412947523295734</v>
      </c>
    </row>
    <row r="617" spans="1:5" x14ac:dyDescent="0.3">
      <c r="A617" t="s">
        <v>623</v>
      </c>
      <c r="B617" t="s">
        <v>13</v>
      </c>
      <c r="C617">
        <v>7.5</v>
      </c>
      <c r="D617">
        <v>3.24</v>
      </c>
      <c r="E617" s="2">
        <f>Portfolio_Data_ProductGroups[[#This Row],[Profit_EUR_m]]/Portfolio_Data_ProductGroups[[#This Row],[Revenue_EUR_m]]</f>
        <v>0.43200000000000005</v>
      </c>
    </row>
    <row r="618" spans="1:5" x14ac:dyDescent="0.3">
      <c r="A618" t="s">
        <v>624</v>
      </c>
      <c r="B618" t="s">
        <v>9</v>
      </c>
      <c r="C618">
        <v>8.7100000000000009</v>
      </c>
      <c r="D618">
        <v>1.86</v>
      </c>
      <c r="E618" s="2">
        <f>Portfolio_Data_ProductGroups[[#This Row],[Profit_EUR_m]]/Portfolio_Data_ProductGroups[[#This Row],[Revenue_EUR_m]]</f>
        <v>0.21354764638346727</v>
      </c>
    </row>
    <row r="619" spans="1:5" x14ac:dyDescent="0.3">
      <c r="A619" t="s">
        <v>625</v>
      </c>
      <c r="B619" t="s">
        <v>13</v>
      </c>
      <c r="C619">
        <v>20.12</v>
      </c>
      <c r="D619">
        <v>6.19</v>
      </c>
      <c r="E619" s="2">
        <f>Portfolio_Data_ProductGroups[[#This Row],[Profit_EUR_m]]/Portfolio_Data_ProductGroups[[#This Row],[Revenue_EUR_m]]</f>
        <v>0.3076540755467197</v>
      </c>
    </row>
    <row r="620" spans="1:5" x14ac:dyDescent="0.3">
      <c r="A620" t="s">
        <v>626</v>
      </c>
      <c r="B620" t="s">
        <v>5</v>
      </c>
      <c r="C620">
        <v>10.92</v>
      </c>
      <c r="D620">
        <v>2.69</v>
      </c>
      <c r="E620" s="2">
        <f>Portfolio_Data_ProductGroups[[#This Row],[Profit_EUR_m]]/Portfolio_Data_ProductGroups[[#This Row],[Revenue_EUR_m]]</f>
        <v>0.24633699633699632</v>
      </c>
    </row>
    <row r="621" spans="1:5" x14ac:dyDescent="0.3">
      <c r="A621" t="s">
        <v>627</v>
      </c>
      <c r="B621" t="s">
        <v>5</v>
      </c>
      <c r="C621">
        <v>16.149999999999999</v>
      </c>
      <c r="D621">
        <v>3.24</v>
      </c>
      <c r="E621" s="2">
        <f>Portfolio_Data_ProductGroups[[#This Row],[Profit_EUR_m]]/Portfolio_Data_ProductGroups[[#This Row],[Revenue_EUR_m]]</f>
        <v>0.20061919504643966</v>
      </c>
    </row>
    <row r="622" spans="1:5" x14ac:dyDescent="0.3">
      <c r="A622" t="s">
        <v>628</v>
      </c>
      <c r="B622" t="s">
        <v>5</v>
      </c>
      <c r="C622">
        <v>113.27</v>
      </c>
      <c r="D622">
        <v>21.2</v>
      </c>
      <c r="E622" s="2">
        <f>Portfolio_Data_ProductGroups[[#This Row],[Profit_EUR_m]]/Portfolio_Data_ProductGroups[[#This Row],[Revenue_EUR_m]]</f>
        <v>0.18716341484947471</v>
      </c>
    </row>
    <row r="623" spans="1:5" x14ac:dyDescent="0.3">
      <c r="A623" t="s">
        <v>629</v>
      </c>
      <c r="B623" t="s">
        <v>5</v>
      </c>
      <c r="C623">
        <v>50.03</v>
      </c>
      <c r="D623">
        <v>13.29</v>
      </c>
      <c r="E623" s="2">
        <f>Portfolio_Data_ProductGroups[[#This Row],[Profit_EUR_m]]/Portfolio_Data_ProductGroups[[#This Row],[Revenue_EUR_m]]</f>
        <v>0.26564061563062158</v>
      </c>
    </row>
    <row r="624" spans="1:5" x14ac:dyDescent="0.3">
      <c r="A624" t="s">
        <v>630</v>
      </c>
      <c r="B624" t="s">
        <v>7</v>
      </c>
      <c r="C624">
        <v>20.16</v>
      </c>
      <c r="D624">
        <v>5.68</v>
      </c>
      <c r="E624" s="2">
        <f>Portfolio_Data_ProductGroups[[#This Row],[Profit_EUR_m]]/Portfolio_Data_ProductGroups[[#This Row],[Revenue_EUR_m]]</f>
        <v>0.28174603174603174</v>
      </c>
    </row>
    <row r="625" spans="1:5" x14ac:dyDescent="0.3">
      <c r="A625" t="s">
        <v>631</v>
      </c>
      <c r="B625" t="s">
        <v>9</v>
      </c>
      <c r="C625">
        <v>9.49</v>
      </c>
      <c r="D625">
        <v>2.58</v>
      </c>
      <c r="E625" s="2">
        <f>Portfolio_Data_ProductGroups[[#This Row],[Profit_EUR_m]]/Portfolio_Data_ProductGroups[[#This Row],[Revenue_EUR_m]]</f>
        <v>0.27186512118018968</v>
      </c>
    </row>
    <row r="626" spans="1:5" x14ac:dyDescent="0.3">
      <c r="A626" t="s">
        <v>632</v>
      </c>
      <c r="B626" t="s">
        <v>13</v>
      </c>
      <c r="C626">
        <v>4.3499999999999996</v>
      </c>
      <c r="D626">
        <v>1.79</v>
      </c>
      <c r="E626" s="2">
        <f>Portfolio_Data_ProductGroups[[#This Row],[Profit_EUR_m]]/Portfolio_Data_ProductGroups[[#This Row],[Revenue_EUR_m]]</f>
        <v>0.41149425287356328</v>
      </c>
    </row>
    <row r="627" spans="1:5" x14ac:dyDescent="0.3">
      <c r="A627" t="s">
        <v>633</v>
      </c>
      <c r="B627" t="s">
        <v>5</v>
      </c>
      <c r="C627">
        <v>22.78</v>
      </c>
      <c r="D627">
        <v>6.09</v>
      </c>
      <c r="E627" s="2">
        <f>Portfolio_Data_ProductGroups[[#This Row],[Profit_EUR_m]]/Portfolio_Data_ProductGroups[[#This Row],[Revenue_EUR_m]]</f>
        <v>0.26733977172958734</v>
      </c>
    </row>
    <row r="628" spans="1:5" x14ac:dyDescent="0.3">
      <c r="A628" t="s">
        <v>634</v>
      </c>
      <c r="B628" t="s">
        <v>5</v>
      </c>
      <c r="C628">
        <v>11.29</v>
      </c>
      <c r="D628">
        <v>4.1399999999999997</v>
      </c>
      <c r="E628" s="2">
        <f>Portfolio_Data_ProductGroups[[#This Row],[Profit_EUR_m]]/Portfolio_Data_ProductGroups[[#This Row],[Revenue_EUR_m]]</f>
        <v>0.36669619131975201</v>
      </c>
    </row>
    <row r="629" spans="1:5" x14ac:dyDescent="0.3">
      <c r="A629" t="s">
        <v>635</v>
      </c>
      <c r="B629" t="s">
        <v>5</v>
      </c>
      <c r="C629">
        <v>5.3</v>
      </c>
      <c r="D629">
        <v>1.59</v>
      </c>
      <c r="E629" s="2">
        <f>Portfolio_Data_ProductGroups[[#This Row],[Profit_EUR_m]]/Portfolio_Data_ProductGroups[[#This Row],[Revenue_EUR_m]]</f>
        <v>0.30000000000000004</v>
      </c>
    </row>
    <row r="630" spans="1:5" x14ac:dyDescent="0.3">
      <c r="A630" t="s">
        <v>636</v>
      </c>
      <c r="B630" t="s">
        <v>9</v>
      </c>
      <c r="C630">
        <v>30.88</v>
      </c>
      <c r="D630">
        <v>4.92</v>
      </c>
      <c r="E630" s="2">
        <f>Portfolio_Data_ProductGroups[[#This Row],[Profit_EUR_m]]/Portfolio_Data_ProductGroups[[#This Row],[Revenue_EUR_m]]</f>
        <v>0.15932642487046633</v>
      </c>
    </row>
    <row r="631" spans="1:5" x14ac:dyDescent="0.3">
      <c r="A631" t="s">
        <v>637</v>
      </c>
      <c r="B631" t="s">
        <v>9</v>
      </c>
      <c r="C631">
        <v>21.64</v>
      </c>
      <c r="D631">
        <v>2.76</v>
      </c>
      <c r="E631" s="2">
        <f>Portfolio_Data_ProductGroups[[#This Row],[Profit_EUR_m]]/Portfolio_Data_ProductGroups[[#This Row],[Revenue_EUR_m]]</f>
        <v>0.1275415896487985</v>
      </c>
    </row>
    <row r="632" spans="1:5" x14ac:dyDescent="0.3">
      <c r="A632" t="s">
        <v>638</v>
      </c>
      <c r="B632" t="s">
        <v>5</v>
      </c>
      <c r="C632">
        <v>13.25</v>
      </c>
      <c r="D632">
        <v>3.91</v>
      </c>
      <c r="E632" s="2">
        <f>Portfolio_Data_ProductGroups[[#This Row],[Profit_EUR_m]]/Portfolio_Data_ProductGroups[[#This Row],[Revenue_EUR_m]]</f>
        <v>0.29509433962264153</v>
      </c>
    </row>
    <row r="633" spans="1:5" x14ac:dyDescent="0.3">
      <c r="A633" t="s">
        <v>639</v>
      </c>
      <c r="B633" t="s">
        <v>5</v>
      </c>
      <c r="C633">
        <v>17.68</v>
      </c>
      <c r="D633">
        <v>4.5999999999999996</v>
      </c>
      <c r="E633" s="2">
        <f>Portfolio_Data_ProductGroups[[#This Row],[Profit_EUR_m]]/Portfolio_Data_ProductGroups[[#This Row],[Revenue_EUR_m]]</f>
        <v>0.26018099547511309</v>
      </c>
    </row>
    <row r="634" spans="1:5" x14ac:dyDescent="0.3">
      <c r="A634" t="s">
        <v>640</v>
      </c>
      <c r="B634" t="s">
        <v>7</v>
      </c>
      <c r="C634">
        <v>17.79</v>
      </c>
      <c r="D634">
        <v>5.55</v>
      </c>
      <c r="E634" s="2">
        <f>Portfolio_Data_ProductGroups[[#This Row],[Profit_EUR_m]]/Portfolio_Data_ProductGroups[[#This Row],[Revenue_EUR_m]]</f>
        <v>0.31197301854974707</v>
      </c>
    </row>
    <row r="635" spans="1:5" x14ac:dyDescent="0.3">
      <c r="A635" t="s">
        <v>641</v>
      </c>
      <c r="B635" t="s">
        <v>13</v>
      </c>
      <c r="C635">
        <v>5.66</v>
      </c>
      <c r="D635">
        <v>1.91</v>
      </c>
      <c r="E635" s="2">
        <f>Portfolio_Data_ProductGroups[[#This Row],[Profit_EUR_m]]/Portfolio_Data_ProductGroups[[#This Row],[Revenue_EUR_m]]</f>
        <v>0.33745583038869253</v>
      </c>
    </row>
    <row r="636" spans="1:5" x14ac:dyDescent="0.3">
      <c r="A636" t="s">
        <v>642</v>
      </c>
      <c r="B636" t="s">
        <v>7</v>
      </c>
      <c r="C636">
        <v>32.93</v>
      </c>
      <c r="D636">
        <v>11.09</v>
      </c>
      <c r="E636" s="2">
        <f>Portfolio_Data_ProductGroups[[#This Row],[Profit_EUR_m]]/Portfolio_Data_ProductGroups[[#This Row],[Revenue_EUR_m]]</f>
        <v>0.33677497722441541</v>
      </c>
    </row>
    <row r="637" spans="1:5" x14ac:dyDescent="0.3">
      <c r="A637" t="s">
        <v>643</v>
      </c>
      <c r="B637" t="s">
        <v>9</v>
      </c>
      <c r="C637">
        <v>5.35</v>
      </c>
      <c r="D637">
        <v>1.18</v>
      </c>
      <c r="E637" s="2">
        <f>Portfolio_Data_ProductGroups[[#This Row],[Profit_EUR_m]]/Portfolio_Data_ProductGroups[[#This Row],[Revenue_EUR_m]]</f>
        <v>0.22056074766355141</v>
      </c>
    </row>
    <row r="638" spans="1:5" x14ac:dyDescent="0.3">
      <c r="A638" t="s">
        <v>644</v>
      </c>
      <c r="B638" t="s">
        <v>5</v>
      </c>
      <c r="C638">
        <v>8.99</v>
      </c>
      <c r="D638">
        <v>2.4500000000000002</v>
      </c>
      <c r="E638" s="2">
        <f>Portfolio_Data_ProductGroups[[#This Row],[Profit_EUR_m]]/Portfolio_Data_ProductGroups[[#This Row],[Revenue_EUR_m]]</f>
        <v>0.27252502780867632</v>
      </c>
    </row>
    <row r="639" spans="1:5" x14ac:dyDescent="0.3">
      <c r="A639" t="s">
        <v>645</v>
      </c>
      <c r="B639" t="s">
        <v>13</v>
      </c>
      <c r="C639">
        <v>7.43</v>
      </c>
      <c r="D639">
        <v>2.92</v>
      </c>
      <c r="E639" s="2">
        <f>Portfolio_Data_ProductGroups[[#This Row],[Profit_EUR_m]]/Portfolio_Data_ProductGroups[[#This Row],[Revenue_EUR_m]]</f>
        <v>0.39300134589502017</v>
      </c>
    </row>
    <row r="640" spans="1:5" x14ac:dyDescent="0.3">
      <c r="A640" t="s">
        <v>646</v>
      </c>
      <c r="B640" t="s">
        <v>13</v>
      </c>
      <c r="C640">
        <v>4.21</v>
      </c>
      <c r="D640">
        <v>2.5</v>
      </c>
      <c r="E640" s="2">
        <f>Portfolio_Data_ProductGroups[[#This Row],[Profit_EUR_m]]/Portfolio_Data_ProductGroups[[#This Row],[Revenue_EUR_m]]</f>
        <v>0.59382422802850354</v>
      </c>
    </row>
    <row r="641" spans="1:5" x14ac:dyDescent="0.3">
      <c r="A641" t="s">
        <v>647</v>
      </c>
      <c r="B641" t="s">
        <v>7</v>
      </c>
      <c r="C641">
        <v>6.18</v>
      </c>
      <c r="D641">
        <v>1.63</v>
      </c>
      <c r="E641" s="2">
        <f>Portfolio_Data_ProductGroups[[#This Row],[Profit_EUR_m]]/Portfolio_Data_ProductGroups[[#This Row],[Revenue_EUR_m]]</f>
        <v>0.26375404530744334</v>
      </c>
    </row>
    <row r="642" spans="1:5" x14ac:dyDescent="0.3">
      <c r="A642" t="s">
        <v>648</v>
      </c>
      <c r="B642" t="s">
        <v>13</v>
      </c>
      <c r="C642">
        <v>11.33</v>
      </c>
      <c r="D642">
        <v>5.63</v>
      </c>
      <c r="E642" s="2">
        <f>Portfolio_Data_ProductGroups[[#This Row],[Profit_EUR_m]]/Portfolio_Data_ProductGroups[[#This Row],[Revenue_EUR_m]]</f>
        <v>0.49691085613415709</v>
      </c>
    </row>
    <row r="643" spans="1:5" x14ac:dyDescent="0.3">
      <c r="A643" t="s">
        <v>649</v>
      </c>
      <c r="B643" t="s">
        <v>5</v>
      </c>
      <c r="C643">
        <v>10.86</v>
      </c>
      <c r="D643">
        <v>2.72</v>
      </c>
      <c r="E643" s="2">
        <f>Portfolio_Data_ProductGroups[[#This Row],[Profit_EUR_m]]/Portfolio_Data_ProductGroups[[#This Row],[Revenue_EUR_m]]</f>
        <v>0.25046040515653778</v>
      </c>
    </row>
    <row r="644" spans="1:5" x14ac:dyDescent="0.3">
      <c r="A644" t="s">
        <v>650</v>
      </c>
      <c r="B644" t="s">
        <v>5</v>
      </c>
      <c r="C644">
        <v>18.559999999999999</v>
      </c>
      <c r="D644">
        <v>5.21</v>
      </c>
      <c r="E644" s="2">
        <f>Portfolio_Data_ProductGroups[[#This Row],[Profit_EUR_m]]/Portfolio_Data_ProductGroups[[#This Row],[Revenue_EUR_m]]</f>
        <v>0.28071120689655177</v>
      </c>
    </row>
    <row r="645" spans="1:5" x14ac:dyDescent="0.3">
      <c r="A645" t="s">
        <v>651</v>
      </c>
      <c r="B645" t="s">
        <v>5</v>
      </c>
      <c r="C645">
        <v>22.03</v>
      </c>
      <c r="D645">
        <v>7.13</v>
      </c>
      <c r="E645" s="2">
        <f>Portfolio_Data_ProductGroups[[#This Row],[Profit_EUR_m]]/Portfolio_Data_ProductGroups[[#This Row],[Revenue_EUR_m]]</f>
        <v>0.32364956876985929</v>
      </c>
    </row>
    <row r="646" spans="1:5" x14ac:dyDescent="0.3">
      <c r="A646" t="s">
        <v>652</v>
      </c>
      <c r="B646" t="s">
        <v>7</v>
      </c>
      <c r="C646">
        <v>12.26</v>
      </c>
      <c r="D646">
        <v>2.85</v>
      </c>
      <c r="E646" s="2">
        <f>Portfolio_Data_ProductGroups[[#This Row],[Profit_EUR_m]]/Portfolio_Data_ProductGroups[[#This Row],[Revenue_EUR_m]]</f>
        <v>0.23246329526916804</v>
      </c>
    </row>
    <row r="647" spans="1:5" x14ac:dyDescent="0.3">
      <c r="A647" t="s">
        <v>653</v>
      </c>
      <c r="B647" t="s">
        <v>9</v>
      </c>
      <c r="C647">
        <v>8.17</v>
      </c>
      <c r="D647">
        <v>1.52</v>
      </c>
      <c r="E647" s="2">
        <f>Portfolio_Data_ProductGroups[[#This Row],[Profit_EUR_m]]/Portfolio_Data_ProductGroups[[#This Row],[Revenue_EUR_m]]</f>
        <v>0.18604651162790697</v>
      </c>
    </row>
    <row r="648" spans="1:5" x14ac:dyDescent="0.3">
      <c r="A648" t="s">
        <v>654</v>
      </c>
      <c r="B648" t="s">
        <v>13</v>
      </c>
      <c r="C648">
        <v>11.63</v>
      </c>
      <c r="D648">
        <v>6.73</v>
      </c>
      <c r="E648" s="2">
        <f>Portfolio_Data_ProductGroups[[#This Row],[Profit_EUR_m]]/Portfolio_Data_ProductGroups[[#This Row],[Revenue_EUR_m]]</f>
        <v>0.57867583834909719</v>
      </c>
    </row>
    <row r="649" spans="1:5" x14ac:dyDescent="0.3">
      <c r="A649" t="s">
        <v>655</v>
      </c>
      <c r="B649" t="s">
        <v>5</v>
      </c>
      <c r="C649">
        <v>8.81</v>
      </c>
      <c r="D649">
        <v>2.98</v>
      </c>
      <c r="E649" s="2">
        <f>Portfolio_Data_ProductGroups[[#This Row],[Profit_EUR_m]]/Portfolio_Data_ProductGroups[[#This Row],[Revenue_EUR_m]]</f>
        <v>0.33825198637911463</v>
      </c>
    </row>
    <row r="650" spans="1:5" x14ac:dyDescent="0.3">
      <c r="A650" t="s">
        <v>656</v>
      </c>
      <c r="B650" t="s">
        <v>5</v>
      </c>
      <c r="C650">
        <v>57.96</v>
      </c>
      <c r="D650">
        <v>17.73</v>
      </c>
      <c r="E650" s="2">
        <f>Portfolio_Data_ProductGroups[[#This Row],[Profit_EUR_m]]/Portfolio_Data_ProductGroups[[#This Row],[Revenue_EUR_m]]</f>
        <v>0.30590062111801242</v>
      </c>
    </row>
    <row r="651" spans="1:5" x14ac:dyDescent="0.3">
      <c r="A651" t="s">
        <v>657</v>
      </c>
      <c r="B651" t="s">
        <v>13</v>
      </c>
      <c r="C651">
        <v>7.81</v>
      </c>
      <c r="D651">
        <v>3.46</v>
      </c>
      <c r="E651" s="2">
        <f>Portfolio_Data_ProductGroups[[#This Row],[Profit_EUR_m]]/Portfolio_Data_ProductGroups[[#This Row],[Revenue_EUR_m]]</f>
        <v>0.44302176696542894</v>
      </c>
    </row>
    <row r="652" spans="1:5" x14ac:dyDescent="0.3">
      <c r="A652" t="s">
        <v>658</v>
      </c>
      <c r="B652" t="s">
        <v>5</v>
      </c>
      <c r="C652">
        <v>7.27</v>
      </c>
      <c r="D652">
        <v>1.76</v>
      </c>
      <c r="E652" s="2">
        <f>Portfolio_Data_ProductGroups[[#This Row],[Profit_EUR_m]]/Portfolio_Data_ProductGroups[[#This Row],[Revenue_EUR_m]]</f>
        <v>0.24209078404401652</v>
      </c>
    </row>
    <row r="653" spans="1:5" x14ac:dyDescent="0.3">
      <c r="A653" t="s">
        <v>659</v>
      </c>
      <c r="B653" t="s">
        <v>5</v>
      </c>
      <c r="C653">
        <v>32.39</v>
      </c>
      <c r="D653">
        <v>8.43</v>
      </c>
      <c r="E653" s="2">
        <f>Portfolio_Data_ProductGroups[[#This Row],[Profit_EUR_m]]/Portfolio_Data_ProductGroups[[#This Row],[Revenue_EUR_m]]</f>
        <v>0.2602655140475455</v>
      </c>
    </row>
    <row r="654" spans="1:5" x14ac:dyDescent="0.3">
      <c r="A654" t="s">
        <v>660</v>
      </c>
      <c r="B654" t="s">
        <v>7</v>
      </c>
      <c r="C654">
        <v>12.41</v>
      </c>
      <c r="D654">
        <v>3.32</v>
      </c>
      <c r="E654" s="2">
        <f>Portfolio_Data_ProductGroups[[#This Row],[Profit_EUR_m]]/Portfolio_Data_ProductGroups[[#This Row],[Revenue_EUR_m]]</f>
        <v>0.26752618855761479</v>
      </c>
    </row>
    <row r="655" spans="1:5" x14ac:dyDescent="0.3">
      <c r="A655" t="s">
        <v>661</v>
      </c>
      <c r="B655" t="s">
        <v>5</v>
      </c>
      <c r="C655">
        <v>32.450000000000003</v>
      </c>
      <c r="D655">
        <v>7.91</v>
      </c>
      <c r="E655" s="2">
        <f>Portfolio_Data_ProductGroups[[#This Row],[Profit_EUR_m]]/Portfolio_Data_ProductGroups[[#This Row],[Revenue_EUR_m]]</f>
        <v>0.24375963020030814</v>
      </c>
    </row>
    <row r="656" spans="1:5" x14ac:dyDescent="0.3">
      <c r="A656" t="s">
        <v>662</v>
      </c>
      <c r="B656" t="s">
        <v>5</v>
      </c>
      <c r="C656">
        <v>19.62</v>
      </c>
      <c r="D656">
        <v>6.63</v>
      </c>
      <c r="E656" s="2">
        <f>Portfolio_Data_ProductGroups[[#This Row],[Profit_EUR_m]]/Portfolio_Data_ProductGroups[[#This Row],[Revenue_EUR_m]]</f>
        <v>0.33792048929663604</v>
      </c>
    </row>
    <row r="657" spans="1:5" x14ac:dyDescent="0.3">
      <c r="A657" t="s">
        <v>663</v>
      </c>
      <c r="B657" t="s">
        <v>9</v>
      </c>
      <c r="C657">
        <v>10.94</v>
      </c>
      <c r="D657">
        <v>3</v>
      </c>
      <c r="E657" s="2">
        <f>Portfolio_Data_ProductGroups[[#This Row],[Profit_EUR_m]]/Portfolio_Data_ProductGroups[[#This Row],[Revenue_EUR_m]]</f>
        <v>0.27422303473491777</v>
      </c>
    </row>
    <row r="658" spans="1:5" x14ac:dyDescent="0.3">
      <c r="A658" t="s">
        <v>664</v>
      </c>
      <c r="B658" t="s">
        <v>5</v>
      </c>
      <c r="C658">
        <v>12.82</v>
      </c>
      <c r="D658">
        <v>3.48</v>
      </c>
      <c r="E658" s="2">
        <f>Portfolio_Data_ProductGroups[[#This Row],[Profit_EUR_m]]/Portfolio_Data_ProductGroups[[#This Row],[Revenue_EUR_m]]</f>
        <v>0.27145085803432134</v>
      </c>
    </row>
    <row r="659" spans="1:5" x14ac:dyDescent="0.3">
      <c r="A659" t="s">
        <v>665</v>
      </c>
      <c r="B659" t="s">
        <v>5</v>
      </c>
      <c r="C659">
        <v>6</v>
      </c>
      <c r="D659">
        <v>1.06</v>
      </c>
      <c r="E659" s="2">
        <f>Portfolio_Data_ProductGroups[[#This Row],[Profit_EUR_m]]/Portfolio_Data_ProductGroups[[#This Row],[Revenue_EUR_m]]</f>
        <v>0.17666666666666667</v>
      </c>
    </row>
    <row r="660" spans="1:5" x14ac:dyDescent="0.3">
      <c r="A660" t="s">
        <v>666</v>
      </c>
      <c r="B660" t="s">
        <v>5</v>
      </c>
      <c r="C660">
        <v>29.04</v>
      </c>
      <c r="D660">
        <v>6.77</v>
      </c>
      <c r="E660" s="2">
        <f>Portfolio_Data_ProductGroups[[#This Row],[Profit_EUR_m]]/Portfolio_Data_ProductGroups[[#This Row],[Revenue_EUR_m]]</f>
        <v>0.23312672176308538</v>
      </c>
    </row>
    <row r="661" spans="1:5" x14ac:dyDescent="0.3">
      <c r="A661" t="s">
        <v>667</v>
      </c>
      <c r="B661" t="s">
        <v>9</v>
      </c>
      <c r="C661">
        <v>37.04</v>
      </c>
      <c r="D661">
        <v>6.65</v>
      </c>
      <c r="E661" s="2">
        <f>Portfolio_Data_ProductGroups[[#This Row],[Profit_EUR_m]]/Portfolio_Data_ProductGroups[[#This Row],[Revenue_EUR_m]]</f>
        <v>0.17953563714902809</v>
      </c>
    </row>
    <row r="662" spans="1:5" x14ac:dyDescent="0.3">
      <c r="A662" t="s">
        <v>668</v>
      </c>
      <c r="B662" t="s">
        <v>7</v>
      </c>
      <c r="C662">
        <v>12.18</v>
      </c>
      <c r="D662">
        <v>2.78</v>
      </c>
      <c r="E662" s="2">
        <f>Portfolio_Data_ProductGroups[[#This Row],[Profit_EUR_m]]/Portfolio_Data_ProductGroups[[#This Row],[Revenue_EUR_m]]</f>
        <v>0.22824302134646962</v>
      </c>
    </row>
    <row r="663" spans="1:5" x14ac:dyDescent="0.3">
      <c r="A663" t="s">
        <v>669</v>
      </c>
      <c r="B663" t="s">
        <v>7</v>
      </c>
      <c r="C663">
        <v>7.64</v>
      </c>
      <c r="D663">
        <v>2.4</v>
      </c>
      <c r="E663" s="2">
        <f>Portfolio_Data_ProductGroups[[#This Row],[Profit_EUR_m]]/Portfolio_Data_ProductGroups[[#This Row],[Revenue_EUR_m]]</f>
        <v>0.31413612565445026</v>
      </c>
    </row>
    <row r="664" spans="1:5" x14ac:dyDescent="0.3">
      <c r="A664" t="s">
        <v>670</v>
      </c>
      <c r="B664" t="s">
        <v>9</v>
      </c>
      <c r="C664">
        <v>31.39</v>
      </c>
      <c r="D664">
        <v>8.32</v>
      </c>
      <c r="E664" s="2">
        <f>Portfolio_Data_ProductGroups[[#This Row],[Profit_EUR_m]]/Portfolio_Data_ProductGroups[[#This Row],[Revenue_EUR_m]]</f>
        <v>0.26505256451099074</v>
      </c>
    </row>
    <row r="665" spans="1:5" x14ac:dyDescent="0.3">
      <c r="A665" t="s">
        <v>671</v>
      </c>
      <c r="B665" t="s">
        <v>5</v>
      </c>
      <c r="C665">
        <v>74.989999999999995</v>
      </c>
      <c r="D665">
        <v>24.94</v>
      </c>
      <c r="E665" s="2">
        <f>Portfolio_Data_ProductGroups[[#This Row],[Profit_EUR_m]]/Portfolio_Data_ProductGroups[[#This Row],[Revenue_EUR_m]]</f>
        <v>0.33257767702360319</v>
      </c>
    </row>
    <row r="666" spans="1:5" x14ac:dyDescent="0.3">
      <c r="A666" t="s">
        <v>672</v>
      </c>
      <c r="B666" t="s">
        <v>5</v>
      </c>
      <c r="C666">
        <v>6.1</v>
      </c>
      <c r="D666">
        <v>1.41</v>
      </c>
      <c r="E666" s="2">
        <f>Portfolio_Data_ProductGroups[[#This Row],[Profit_EUR_m]]/Portfolio_Data_ProductGroups[[#This Row],[Revenue_EUR_m]]</f>
        <v>0.23114754098360657</v>
      </c>
    </row>
    <row r="667" spans="1:5" x14ac:dyDescent="0.3">
      <c r="A667" t="s">
        <v>673</v>
      </c>
      <c r="B667" t="s">
        <v>5</v>
      </c>
      <c r="C667">
        <v>27.8</v>
      </c>
      <c r="D667">
        <v>4.54</v>
      </c>
      <c r="E667" s="2">
        <f>Portfolio_Data_ProductGroups[[#This Row],[Profit_EUR_m]]/Portfolio_Data_ProductGroups[[#This Row],[Revenue_EUR_m]]</f>
        <v>0.16330935251798562</v>
      </c>
    </row>
    <row r="668" spans="1:5" x14ac:dyDescent="0.3">
      <c r="A668" t="s">
        <v>674</v>
      </c>
      <c r="B668" t="s">
        <v>9</v>
      </c>
      <c r="C668">
        <v>3.01</v>
      </c>
      <c r="D668">
        <v>0.72</v>
      </c>
      <c r="E668" s="2">
        <f>Portfolio_Data_ProductGroups[[#This Row],[Profit_EUR_m]]/Portfolio_Data_ProductGroups[[#This Row],[Revenue_EUR_m]]</f>
        <v>0.23920265780730898</v>
      </c>
    </row>
    <row r="669" spans="1:5" x14ac:dyDescent="0.3">
      <c r="A669" t="s">
        <v>675</v>
      </c>
      <c r="B669" t="s">
        <v>9</v>
      </c>
      <c r="C669">
        <v>13.6</v>
      </c>
      <c r="D669">
        <v>3.28</v>
      </c>
      <c r="E669" s="2">
        <f>Portfolio_Data_ProductGroups[[#This Row],[Profit_EUR_m]]/Portfolio_Data_ProductGroups[[#This Row],[Revenue_EUR_m]]</f>
        <v>0.2411764705882353</v>
      </c>
    </row>
    <row r="670" spans="1:5" x14ac:dyDescent="0.3">
      <c r="A670" t="s">
        <v>676</v>
      </c>
      <c r="B670" t="s">
        <v>7</v>
      </c>
      <c r="C670">
        <v>8.09</v>
      </c>
      <c r="D670">
        <v>2.72</v>
      </c>
      <c r="E670" s="2">
        <f>Portfolio_Data_ProductGroups[[#This Row],[Profit_EUR_m]]/Portfolio_Data_ProductGroups[[#This Row],[Revenue_EUR_m]]</f>
        <v>0.3362175525339926</v>
      </c>
    </row>
    <row r="671" spans="1:5" x14ac:dyDescent="0.3">
      <c r="A671" t="s">
        <v>677</v>
      </c>
      <c r="B671" t="s">
        <v>9</v>
      </c>
      <c r="C671">
        <v>23.4</v>
      </c>
      <c r="D671">
        <v>6.23</v>
      </c>
      <c r="E671" s="2">
        <f>Portfolio_Data_ProductGroups[[#This Row],[Profit_EUR_m]]/Portfolio_Data_ProductGroups[[#This Row],[Revenue_EUR_m]]</f>
        <v>0.26623931623931629</v>
      </c>
    </row>
    <row r="672" spans="1:5" x14ac:dyDescent="0.3">
      <c r="A672" t="s">
        <v>678</v>
      </c>
      <c r="B672" t="s">
        <v>7</v>
      </c>
      <c r="C672">
        <v>21.68</v>
      </c>
      <c r="D672">
        <v>7.99</v>
      </c>
      <c r="E672" s="2">
        <f>Portfolio_Data_ProductGroups[[#This Row],[Profit_EUR_m]]/Portfolio_Data_ProductGroups[[#This Row],[Revenue_EUR_m]]</f>
        <v>0.36854243542435428</v>
      </c>
    </row>
    <row r="673" spans="1:5" x14ac:dyDescent="0.3">
      <c r="A673" t="s">
        <v>679</v>
      </c>
      <c r="B673" t="s">
        <v>5</v>
      </c>
      <c r="C673">
        <v>7.08</v>
      </c>
      <c r="D673">
        <v>2.2400000000000002</v>
      </c>
      <c r="E673" s="2">
        <f>Portfolio_Data_ProductGroups[[#This Row],[Profit_EUR_m]]/Portfolio_Data_ProductGroups[[#This Row],[Revenue_EUR_m]]</f>
        <v>0.31638418079096048</v>
      </c>
    </row>
    <row r="674" spans="1:5" x14ac:dyDescent="0.3">
      <c r="A674" t="s">
        <v>680</v>
      </c>
      <c r="B674" t="s">
        <v>7</v>
      </c>
      <c r="C674">
        <v>18.04</v>
      </c>
      <c r="D674">
        <v>4.17</v>
      </c>
      <c r="E674" s="2">
        <f>Portfolio_Data_ProductGroups[[#This Row],[Profit_EUR_m]]/Portfolio_Data_ProductGroups[[#This Row],[Revenue_EUR_m]]</f>
        <v>0.23115299334811532</v>
      </c>
    </row>
    <row r="675" spans="1:5" x14ac:dyDescent="0.3">
      <c r="A675" t="s">
        <v>681</v>
      </c>
      <c r="B675" t="s">
        <v>5</v>
      </c>
      <c r="C675">
        <v>16.47</v>
      </c>
      <c r="D675">
        <v>4.5</v>
      </c>
      <c r="E675" s="2">
        <f>Portfolio_Data_ProductGroups[[#This Row],[Profit_EUR_m]]/Portfolio_Data_ProductGroups[[#This Row],[Revenue_EUR_m]]</f>
        <v>0.27322404371584702</v>
      </c>
    </row>
    <row r="676" spans="1:5" x14ac:dyDescent="0.3">
      <c r="A676" t="s">
        <v>682</v>
      </c>
      <c r="B676" t="s">
        <v>5</v>
      </c>
      <c r="C676">
        <v>13.1</v>
      </c>
      <c r="D676">
        <v>3.95</v>
      </c>
      <c r="E676" s="2">
        <f>Portfolio_Data_ProductGroups[[#This Row],[Profit_EUR_m]]/Portfolio_Data_ProductGroups[[#This Row],[Revenue_EUR_m]]</f>
        <v>0.30152671755725191</v>
      </c>
    </row>
    <row r="677" spans="1:5" x14ac:dyDescent="0.3">
      <c r="A677" t="s">
        <v>683</v>
      </c>
      <c r="B677" t="s">
        <v>9</v>
      </c>
      <c r="C677">
        <v>12.38</v>
      </c>
      <c r="D677">
        <v>2.41</v>
      </c>
      <c r="E677" s="2">
        <f>Portfolio_Data_ProductGroups[[#This Row],[Profit_EUR_m]]/Portfolio_Data_ProductGroups[[#This Row],[Revenue_EUR_m]]</f>
        <v>0.19466882067851374</v>
      </c>
    </row>
    <row r="678" spans="1:5" x14ac:dyDescent="0.3">
      <c r="A678" t="s">
        <v>684</v>
      </c>
      <c r="B678" t="s">
        <v>9</v>
      </c>
      <c r="C678">
        <v>17.09</v>
      </c>
      <c r="D678">
        <v>1.84</v>
      </c>
      <c r="E678" s="2">
        <f>Portfolio_Data_ProductGroups[[#This Row],[Profit_EUR_m]]/Portfolio_Data_ProductGroups[[#This Row],[Revenue_EUR_m]]</f>
        <v>0.10766530134581627</v>
      </c>
    </row>
    <row r="679" spans="1:5" x14ac:dyDescent="0.3">
      <c r="A679" t="s">
        <v>685</v>
      </c>
      <c r="B679" t="s">
        <v>5</v>
      </c>
      <c r="C679">
        <v>14.68</v>
      </c>
      <c r="D679">
        <v>3.62</v>
      </c>
      <c r="E679" s="2">
        <f>Portfolio_Data_ProductGroups[[#This Row],[Profit_EUR_m]]/Portfolio_Data_ProductGroups[[#This Row],[Revenue_EUR_m]]</f>
        <v>0.24659400544959129</v>
      </c>
    </row>
    <row r="680" spans="1:5" x14ac:dyDescent="0.3">
      <c r="A680" t="s">
        <v>686</v>
      </c>
      <c r="B680" t="s">
        <v>9</v>
      </c>
      <c r="C680">
        <v>32.68</v>
      </c>
      <c r="D680">
        <v>7.62</v>
      </c>
      <c r="E680" s="2">
        <f>Portfolio_Data_ProductGroups[[#This Row],[Profit_EUR_m]]/Portfolio_Data_ProductGroups[[#This Row],[Revenue_EUR_m]]</f>
        <v>0.23317013463892289</v>
      </c>
    </row>
    <row r="681" spans="1:5" x14ac:dyDescent="0.3">
      <c r="A681" t="s">
        <v>687</v>
      </c>
      <c r="B681" t="s">
        <v>7</v>
      </c>
      <c r="C681">
        <v>11.59</v>
      </c>
      <c r="D681">
        <v>2.86</v>
      </c>
      <c r="E681" s="2">
        <f>Portfolio_Data_ProductGroups[[#This Row],[Profit_EUR_m]]/Portfolio_Data_ProductGroups[[#This Row],[Revenue_EUR_m]]</f>
        <v>0.24676445211389128</v>
      </c>
    </row>
    <row r="682" spans="1:5" x14ac:dyDescent="0.3">
      <c r="A682" t="s">
        <v>688</v>
      </c>
      <c r="B682" t="s">
        <v>7</v>
      </c>
      <c r="C682">
        <v>12.21</v>
      </c>
      <c r="D682">
        <v>3.46</v>
      </c>
      <c r="E682" s="2">
        <f>Portfolio_Data_ProductGroups[[#This Row],[Profit_EUR_m]]/Portfolio_Data_ProductGroups[[#This Row],[Revenue_EUR_m]]</f>
        <v>0.28337428337428333</v>
      </c>
    </row>
    <row r="683" spans="1:5" x14ac:dyDescent="0.3">
      <c r="A683" t="s">
        <v>689</v>
      </c>
      <c r="B683" t="s">
        <v>5</v>
      </c>
      <c r="C683">
        <v>2.4700000000000002</v>
      </c>
      <c r="D683">
        <v>0.59</v>
      </c>
      <c r="E683" s="2">
        <f>Portfolio_Data_ProductGroups[[#This Row],[Profit_EUR_m]]/Portfolio_Data_ProductGroups[[#This Row],[Revenue_EUR_m]]</f>
        <v>0.23886639676113358</v>
      </c>
    </row>
    <row r="684" spans="1:5" x14ac:dyDescent="0.3">
      <c r="A684" t="s">
        <v>690</v>
      </c>
      <c r="B684" t="s">
        <v>5</v>
      </c>
      <c r="C684">
        <v>11.29</v>
      </c>
      <c r="D684">
        <v>2.1</v>
      </c>
      <c r="E684" s="2">
        <f>Portfolio_Data_ProductGroups[[#This Row],[Profit_EUR_m]]/Portfolio_Data_ProductGroups[[#This Row],[Revenue_EUR_m]]</f>
        <v>0.18600531443755539</v>
      </c>
    </row>
    <row r="685" spans="1:5" x14ac:dyDescent="0.3">
      <c r="A685" t="s">
        <v>691</v>
      </c>
      <c r="B685" t="s">
        <v>7</v>
      </c>
      <c r="C685">
        <v>23.36</v>
      </c>
      <c r="D685">
        <v>5.82</v>
      </c>
      <c r="E685" s="2">
        <f>Portfolio_Data_ProductGroups[[#This Row],[Profit_EUR_m]]/Portfolio_Data_ProductGroups[[#This Row],[Revenue_EUR_m]]</f>
        <v>0.24914383561643838</v>
      </c>
    </row>
    <row r="686" spans="1:5" x14ac:dyDescent="0.3">
      <c r="A686" t="s">
        <v>692</v>
      </c>
      <c r="B686" t="s">
        <v>7</v>
      </c>
      <c r="C686">
        <v>20.64</v>
      </c>
      <c r="D686">
        <v>5.33</v>
      </c>
      <c r="E686" s="2">
        <f>Portfolio_Data_ProductGroups[[#This Row],[Profit_EUR_m]]/Portfolio_Data_ProductGroups[[#This Row],[Revenue_EUR_m]]</f>
        <v>0.25823643410852715</v>
      </c>
    </row>
    <row r="687" spans="1:5" x14ac:dyDescent="0.3">
      <c r="A687" t="s">
        <v>693</v>
      </c>
      <c r="B687" t="s">
        <v>5</v>
      </c>
      <c r="C687">
        <v>11.35</v>
      </c>
      <c r="D687">
        <v>2.7</v>
      </c>
      <c r="E687" s="2">
        <f>Portfolio_Data_ProductGroups[[#This Row],[Profit_EUR_m]]/Portfolio_Data_ProductGroups[[#This Row],[Revenue_EUR_m]]</f>
        <v>0.2378854625550661</v>
      </c>
    </row>
    <row r="688" spans="1:5" x14ac:dyDescent="0.3">
      <c r="A688" t="s">
        <v>694</v>
      </c>
      <c r="B688" t="s">
        <v>5</v>
      </c>
      <c r="C688">
        <v>39.26</v>
      </c>
      <c r="D688">
        <v>8.26</v>
      </c>
      <c r="E688" s="2">
        <f>Portfolio_Data_ProductGroups[[#This Row],[Profit_EUR_m]]/Portfolio_Data_ProductGroups[[#This Row],[Revenue_EUR_m]]</f>
        <v>0.21039225674987264</v>
      </c>
    </row>
    <row r="689" spans="1:5" x14ac:dyDescent="0.3">
      <c r="A689" t="s">
        <v>695</v>
      </c>
      <c r="B689" t="s">
        <v>7</v>
      </c>
      <c r="C689">
        <v>5.72</v>
      </c>
      <c r="D689">
        <v>1.24</v>
      </c>
      <c r="E689" s="2">
        <f>Portfolio_Data_ProductGroups[[#This Row],[Profit_EUR_m]]/Portfolio_Data_ProductGroups[[#This Row],[Revenue_EUR_m]]</f>
        <v>0.2167832167832168</v>
      </c>
    </row>
    <row r="690" spans="1:5" x14ac:dyDescent="0.3">
      <c r="A690" t="s">
        <v>696</v>
      </c>
      <c r="B690" t="s">
        <v>13</v>
      </c>
      <c r="C690">
        <v>8.5</v>
      </c>
      <c r="D690">
        <v>2.98</v>
      </c>
      <c r="E690" s="2">
        <f>Portfolio_Data_ProductGroups[[#This Row],[Profit_EUR_m]]/Portfolio_Data_ProductGroups[[#This Row],[Revenue_EUR_m]]</f>
        <v>0.35058823529411764</v>
      </c>
    </row>
    <row r="691" spans="1:5" x14ac:dyDescent="0.3">
      <c r="A691" t="s">
        <v>697</v>
      </c>
      <c r="B691" t="s">
        <v>9</v>
      </c>
      <c r="C691">
        <v>7.69</v>
      </c>
      <c r="D691">
        <v>1.89</v>
      </c>
      <c r="E691" s="2">
        <f>Portfolio_Data_ProductGroups[[#This Row],[Profit_EUR_m]]/Portfolio_Data_ProductGroups[[#This Row],[Revenue_EUR_m]]</f>
        <v>0.24577373211963588</v>
      </c>
    </row>
    <row r="692" spans="1:5" x14ac:dyDescent="0.3">
      <c r="A692" t="s">
        <v>698</v>
      </c>
      <c r="B692" t="s">
        <v>5</v>
      </c>
      <c r="C692">
        <v>27.3</v>
      </c>
      <c r="D692">
        <v>6.01</v>
      </c>
      <c r="E692" s="2">
        <f>Portfolio_Data_ProductGroups[[#This Row],[Profit_EUR_m]]/Portfolio_Data_ProductGroups[[#This Row],[Revenue_EUR_m]]</f>
        <v>0.22014652014652014</v>
      </c>
    </row>
    <row r="693" spans="1:5" x14ac:dyDescent="0.3">
      <c r="A693" t="s">
        <v>699</v>
      </c>
      <c r="B693" t="s">
        <v>7</v>
      </c>
      <c r="C693">
        <v>11.09</v>
      </c>
      <c r="D693">
        <v>3.81</v>
      </c>
      <c r="E693" s="2">
        <f>Portfolio_Data_ProductGroups[[#This Row],[Profit_EUR_m]]/Portfolio_Data_ProductGroups[[#This Row],[Revenue_EUR_m]]</f>
        <v>0.3435527502254283</v>
      </c>
    </row>
    <row r="694" spans="1:5" x14ac:dyDescent="0.3">
      <c r="A694" t="s">
        <v>700</v>
      </c>
      <c r="B694" t="s">
        <v>5</v>
      </c>
      <c r="C694">
        <v>61.25</v>
      </c>
      <c r="D694">
        <v>12.69</v>
      </c>
      <c r="E694" s="2">
        <f>Portfolio_Data_ProductGroups[[#This Row],[Profit_EUR_m]]/Portfolio_Data_ProductGroups[[#This Row],[Revenue_EUR_m]]</f>
        <v>0.20718367346938774</v>
      </c>
    </row>
    <row r="695" spans="1:5" x14ac:dyDescent="0.3">
      <c r="A695" t="s">
        <v>701</v>
      </c>
      <c r="B695" t="s">
        <v>13</v>
      </c>
      <c r="C695">
        <v>5.4</v>
      </c>
      <c r="D695">
        <v>2.4700000000000002</v>
      </c>
      <c r="E695" s="2">
        <f>Portfolio_Data_ProductGroups[[#This Row],[Profit_EUR_m]]/Portfolio_Data_ProductGroups[[#This Row],[Revenue_EUR_m]]</f>
        <v>0.45740740740740743</v>
      </c>
    </row>
    <row r="696" spans="1:5" x14ac:dyDescent="0.3">
      <c r="A696" t="s">
        <v>702</v>
      </c>
      <c r="B696" t="s">
        <v>13</v>
      </c>
      <c r="C696">
        <v>8.7200000000000006</v>
      </c>
      <c r="D696">
        <v>3.87</v>
      </c>
      <c r="E696" s="2">
        <f>Portfolio_Data_ProductGroups[[#This Row],[Profit_EUR_m]]/Portfolio_Data_ProductGroups[[#This Row],[Revenue_EUR_m]]</f>
        <v>0.44380733944954126</v>
      </c>
    </row>
    <row r="697" spans="1:5" x14ac:dyDescent="0.3">
      <c r="A697" t="s">
        <v>703</v>
      </c>
      <c r="B697" t="s">
        <v>5</v>
      </c>
      <c r="C697">
        <v>17.23</v>
      </c>
      <c r="D697">
        <v>5.1100000000000003</v>
      </c>
      <c r="E697" s="2">
        <f>Portfolio_Data_ProductGroups[[#This Row],[Profit_EUR_m]]/Portfolio_Data_ProductGroups[[#This Row],[Revenue_EUR_m]]</f>
        <v>0.29657573998839237</v>
      </c>
    </row>
    <row r="698" spans="1:5" x14ac:dyDescent="0.3">
      <c r="A698" t="s">
        <v>704</v>
      </c>
      <c r="B698" t="s">
        <v>7</v>
      </c>
      <c r="C698">
        <v>6.43</v>
      </c>
      <c r="D698">
        <v>2.67</v>
      </c>
      <c r="E698" s="2">
        <f>Portfolio_Data_ProductGroups[[#This Row],[Profit_EUR_m]]/Portfolio_Data_ProductGroups[[#This Row],[Revenue_EUR_m]]</f>
        <v>0.4152410575427683</v>
      </c>
    </row>
    <row r="699" spans="1:5" x14ac:dyDescent="0.3">
      <c r="A699" t="s">
        <v>705</v>
      </c>
      <c r="B699" t="s">
        <v>7</v>
      </c>
      <c r="C699">
        <v>8.33</v>
      </c>
      <c r="D699">
        <v>1.97</v>
      </c>
      <c r="E699" s="2">
        <f>Portfolio_Data_ProductGroups[[#This Row],[Profit_EUR_m]]/Portfolio_Data_ProductGroups[[#This Row],[Revenue_EUR_m]]</f>
        <v>0.23649459783913565</v>
      </c>
    </row>
    <row r="700" spans="1:5" x14ac:dyDescent="0.3">
      <c r="A700" t="s">
        <v>706</v>
      </c>
      <c r="B700" t="s">
        <v>13</v>
      </c>
      <c r="C700">
        <v>3.42</v>
      </c>
      <c r="D700">
        <v>1.92</v>
      </c>
      <c r="E700" s="2">
        <f>Portfolio_Data_ProductGroups[[#This Row],[Profit_EUR_m]]/Portfolio_Data_ProductGroups[[#This Row],[Revenue_EUR_m]]</f>
        <v>0.56140350877192979</v>
      </c>
    </row>
    <row r="701" spans="1:5" x14ac:dyDescent="0.3">
      <c r="A701" t="s">
        <v>707</v>
      </c>
      <c r="B701" t="s">
        <v>7</v>
      </c>
      <c r="C701">
        <v>24.3</v>
      </c>
      <c r="D701">
        <v>8.01</v>
      </c>
      <c r="E701" s="2">
        <f>Portfolio_Data_ProductGroups[[#This Row],[Profit_EUR_m]]/Portfolio_Data_ProductGroups[[#This Row],[Revenue_EUR_m]]</f>
        <v>0.32962962962962961</v>
      </c>
    </row>
    <row r="702" spans="1:5" x14ac:dyDescent="0.3">
      <c r="A702" t="s">
        <v>708</v>
      </c>
      <c r="B702" t="s">
        <v>9</v>
      </c>
      <c r="C702">
        <v>5.67</v>
      </c>
      <c r="D702">
        <v>1.46</v>
      </c>
      <c r="E702" s="2">
        <f>Portfolio_Data_ProductGroups[[#This Row],[Profit_EUR_m]]/Portfolio_Data_ProductGroups[[#This Row],[Revenue_EUR_m]]</f>
        <v>0.25749559082892415</v>
      </c>
    </row>
    <row r="703" spans="1:5" x14ac:dyDescent="0.3">
      <c r="A703" t="s">
        <v>709</v>
      </c>
      <c r="B703" t="s">
        <v>9</v>
      </c>
      <c r="C703">
        <v>8.31</v>
      </c>
      <c r="D703">
        <v>1.24</v>
      </c>
      <c r="E703" s="2">
        <f>Portfolio_Data_ProductGroups[[#This Row],[Profit_EUR_m]]/Portfolio_Data_ProductGroups[[#This Row],[Revenue_EUR_m]]</f>
        <v>0.14921780986762936</v>
      </c>
    </row>
    <row r="704" spans="1:5" x14ac:dyDescent="0.3">
      <c r="A704" t="s">
        <v>710</v>
      </c>
      <c r="B704" t="s">
        <v>5</v>
      </c>
      <c r="C704">
        <v>17.22</v>
      </c>
      <c r="D704">
        <v>2.76</v>
      </c>
      <c r="E704" s="2">
        <f>Portfolio_Data_ProductGroups[[#This Row],[Profit_EUR_m]]/Portfolio_Data_ProductGroups[[#This Row],[Revenue_EUR_m]]</f>
        <v>0.16027874564459929</v>
      </c>
    </row>
    <row r="705" spans="1:5" x14ac:dyDescent="0.3">
      <c r="A705" t="s">
        <v>711</v>
      </c>
      <c r="B705" t="s">
        <v>5</v>
      </c>
      <c r="C705">
        <v>25.01</v>
      </c>
      <c r="D705">
        <v>7.11</v>
      </c>
      <c r="E705" s="2">
        <f>Portfolio_Data_ProductGroups[[#This Row],[Profit_EUR_m]]/Portfolio_Data_ProductGroups[[#This Row],[Revenue_EUR_m]]</f>
        <v>0.28428628548580565</v>
      </c>
    </row>
    <row r="706" spans="1:5" x14ac:dyDescent="0.3">
      <c r="A706" t="s">
        <v>712</v>
      </c>
      <c r="B706" t="s">
        <v>13</v>
      </c>
      <c r="C706">
        <v>2.96</v>
      </c>
      <c r="D706">
        <v>1.17</v>
      </c>
      <c r="E706" s="2">
        <f>Portfolio_Data_ProductGroups[[#This Row],[Profit_EUR_m]]/Portfolio_Data_ProductGroups[[#This Row],[Revenue_EUR_m]]</f>
        <v>0.39527027027027023</v>
      </c>
    </row>
    <row r="707" spans="1:5" x14ac:dyDescent="0.3">
      <c r="A707" t="s">
        <v>713</v>
      </c>
      <c r="B707" t="s">
        <v>7</v>
      </c>
      <c r="C707">
        <v>10.6</v>
      </c>
      <c r="D707">
        <v>2.27</v>
      </c>
      <c r="E707" s="2">
        <f>Portfolio_Data_ProductGroups[[#This Row],[Profit_EUR_m]]/Portfolio_Data_ProductGroups[[#This Row],[Revenue_EUR_m]]</f>
        <v>0.21415094339622642</v>
      </c>
    </row>
    <row r="708" spans="1:5" x14ac:dyDescent="0.3">
      <c r="A708" t="s">
        <v>714</v>
      </c>
      <c r="B708" t="s">
        <v>9</v>
      </c>
      <c r="C708">
        <v>19.88</v>
      </c>
      <c r="D708">
        <v>4.0199999999999996</v>
      </c>
      <c r="E708" s="2">
        <f>Portfolio_Data_ProductGroups[[#This Row],[Profit_EUR_m]]/Portfolio_Data_ProductGroups[[#This Row],[Revenue_EUR_m]]</f>
        <v>0.2022132796780684</v>
      </c>
    </row>
    <row r="709" spans="1:5" x14ac:dyDescent="0.3">
      <c r="A709" t="s">
        <v>715</v>
      </c>
      <c r="B709" t="s">
        <v>9</v>
      </c>
      <c r="C709">
        <v>80.19</v>
      </c>
      <c r="D709">
        <v>19.350000000000001</v>
      </c>
      <c r="E709" s="2">
        <f>Portfolio_Data_ProductGroups[[#This Row],[Profit_EUR_m]]/Portfolio_Data_ProductGroups[[#This Row],[Revenue_EUR_m]]</f>
        <v>0.24130190796857465</v>
      </c>
    </row>
    <row r="710" spans="1:5" x14ac:dyDescent="0.3">
      <c r="A710" t="s">
        <v>716</v>
      </c>
      <c r="B710" t="s">
        <v>13</v>
      </c>
      <c r="C710">
        <v>7.59</v>
      </c>
      <c r="D710">
        <v>3.21</v>
      </c>
      <c r="E710" s="2">
        <f>Portfolio_Data_ProductGroups[[#This Row],[Profit_EUR_m]]/Portfolio_Data_ProductGroups[[#This Row],[Revenue_EUR_m]]</f>
        <v>0.42292490118577075</v>
      </c>
    </row>
    <row r="711" spans="1:5" x14ac:dyDescent="0.3">
      <c r="A711" t="s">
        <v>717</v>
      </c>
      <c r="B711" t="s">
        <v>5</v>
      </c>
      <c r="C711">
        <v>19.05</v>
      </c>
      <c r="D711">
        <v>5.25</v>
      </c>
      <c r="E711" s="2">
        <f>Portfolio_Data_ProductGroups[[#This Row],[Profit_EUR_m]]/Portfolio_Data_ProductGroups[[#This Row],[Revenue_EUR_m]]</f>
        <v>0.27559055118110237</v>
      </c>
    </row>
    <row r="712" spans="1:5" x14ac:dyDescent="0.3">
      <c r="A712" t="s">
        <v>718</v>
      </c>
      <c r="B712" t="s">
        <v>7</v>
      </c>
      <c r="C712">
        <v>17.440000000000001</v>
      </c>
      <c r="D712">
        <v>4.1900000000000004</v>
      </c>
      <c r="E712" s="2">
        <f>Portfolio_Data_ProductGroups[[#This Row],[Profit_EUR_m]]/Portfolio_Data_ProductGroups[[#This Row],[Revenue_EUR_m]]</f>
        <v>0.24025229357798167</v>
      </c>
    </row>
    <row r="713" spans="1:5" x14ac:dyDescent="0.3">
      <c r="A713" t="s">
        <v>719</v>
      </c>
      <c r="B713" t="s">
        <v>5</v>
      </c>
      <c r="C713">
        <v>16.22</v>
      </c>
      <c r="D713">
        <v>4.8600000000000003</v>
      </c>
      <c r="E713" s="2">
        <f>Portfolio_Data_ProductGroups[[#This Row],[Profit_EUR_m]]/Portfolio_Data_ProductGroups[[#This Row],[Revenue_EUR_m]]</f>
        <v>0.29963008631319366</v>
      </c>
    </row>
    <row r="714" spans="1:5" x14ac:dyDescent="0.3">
      <c r="A714" t="s">
        <v>720</v>
      </c>
      <c r="B714" t="s">
        <v>7</v>
      </c>
      <c r="C714">
        <v>5.44</v>
      </c>
      <c r="D714">
        <v>1.64</v>
      </c>
      <c r="E714" s="2">
        <f>Portfolio_Data_ProductGroups[[#This Row],[Profit_EUR_m]]/Portfolio_Data_ProductGroups[[#This Row],[Revenue_EUR_m]]</f>
        <v>0.3014705882352941</v>
      </c>
    </row>
    <row r="715" spans="1:5" x14ac:dyDescent="0.3">
      <c r="A715" t="s">
        <v>721</v>
      </c>
      <c r="B715" t="s">
        <v>9</v>
      </c>
      <c r="C715">
        <v>4.08</v>
      </c>
      <c r="D715">
        <v>0.81</v>
      </c>
      <c r="E715" s="2">
        <f>Portfolio_Data_ProductGroups[[#This Row],[Profit_EUR_m]]/Portfolio_Data_ProductGroups[[#This Row],[Revenue_EUR_m]]</f>
        <v>0.1985294117647059</v>
      </c>
    </row>
    <row r="716" spans="1:5" x14ac:dyDescent="0.3">
      <c r="A716" t="s">
        <v>722</v>
      </c>
      <c r="B716" t="s">
        <v>9</v>
      </c>
      <c r="C716">
        <v>6.6</v>
      </c>
      <c r="D716">
        <v>1.33</v>
      </c>
      <c r="E716" s="2">
        <f>Portfolio_Data_ProductGroups[[#This Row],[Profit_EUR_m]]/Portfolio_Data_ProductGroups[[#This Row],[Revenue_EUR_m]]</f>
        <v>0.20151515151515154</v>
      </c>
    </row>
    <row r="717" spans="1:5" x14ac:dyDescent="0.3">
      <c r="A717" t="s">
        <v>723</v>
      </c>
      <c r="B717" t="s">
        <v>9</v>
      </c>
      <c r="C717">
        <v>27.31</v>
      </c>
      <c r="D717">
        <v>9.09</v>
      </c>
      <c r="E717" s="2">
        <f>Portfolio_Data_ProductGroups[[#This Row],[Profit_EUR_m]]/Portfolio_Data_ProductGroups[[#This Row],[Revenue_EUR_m]]</f>
        <v>0.33284511168070308</v>
      </c>
    </row>
    <row r="718" spans="1:5" x14ac:dyDescent="0.3">
      <c r="A718" t="s">
        <v>724</v>
      </c>
      <c r="B718" t="s">
        <v>13</v>
      </c>
      <c r="C718">
        <v>13.75</v>
      </c>
      <c r="D718">
        <v>6.77</v>
      </c>
      <c r="E718" s="2">
        <f>Portfolio_Data_ProductGroups[[#This Row],[Profit_EUR_m]]/Portfolio_Data_ProductGroups[[#This Row],[Revenue_EUR_m]]</f>
        <v>0.49236363636363634</v>
      </c>
    </row>
    <row r="719" spans="1:5" x14ac:dyDescent="0.3">
      <c r="A719" t="s">
        <v>725</v>
      </c>
      <c r="B719" t="s">
        <v>5</v>
      </c>
      <c r="C719">
        <v>6.42</v>
      </c>
      <c r="D719">
        <v>1.65</v>
      </c>
      <c r="E719" s="2">
        <f>Portfolio_Data_ProductGroups[[#This Row],[Profit_EUR_m]]/Portfolio_Data_ProductGroups[[#This Row],[Revenue_EUR_m]]</f>
        <v>0.2570093457943925</v>
      </c>
    </row>
    <row r="720" spans="1:5" x14ac:dyDescent="0.3">
      <c r="A720" t="s">
        <v>726</v>
      </c>
      <c r="B720" t="s">
        <v>5</v>
      </c>
      <c r="C720">
        <v>33.979999999999997</v>
      </c>
      <c r="D720">
        <v>5.35</v>
      </c>
      <c r="E720" s="2">
        <f>Portfolio_Data_ProductGroups[[#This Row],[Profit_EUR_m]]/Portfolio_Data_ProductGroups[[#This Row],[Revenue_EUR_m]]</f>
        <v>0.15744555620953501</v>
      </c>
    </row>
    <row r="721" spans="1:5" x14ac:dyDescent="0.3">
      <c r="A721" t="s">
        <v>727</v>
      </c>
      <c r="B721" t="s">
        <v>9</v>
      </c>
      <c r="C721">
        <v>4.3499999999999996</v>
      </c>
      <c r="D721">
        <v>0.63</v>
      </c>
      <c r="E721" s="2">
        <f>Portfolio_Data_ProductGroups[[#This Row],[Profit_EUR_m]]/Portfolio_Data_ProductGroups[[#This Row],[Revenue_EUR_m]]</f>
        <v>0.14482758620689656</v>
      </c>
    </row>
    <row r="722" spans="1:5" x14ac:dyDescent="0.3">
      <c r="A722" t="s">
        <v>728</v>
      </c>
      <c r="B722" t="s">
        <v>13</v>
      </c>
      <c r="C722">
        <v>14.49</v>
      </c>
      <c r="D722">
        <v>6.35</v>
      </c>
      <c r="E722" s="2">
        <f>Portfolio_Data_ProductGroups[[#This Row],[Profit_EUR_m]]/Portfolio_Data_ProductGroups[[#This Row],[Revenue_EUR_m]]</f>
        <v>0.43823326432022081</v>
      </c>
    </row>
    <row r="723" spans="1:5" x14ac:dyDescent="0.3">
      <c r="A723" t="s">
        <v>729</v>
      </c>
      <c r="B723" t="s">
        <v>13</v>
      </c>
      <c r="C723">
        <v>10.46</v>
      </c>
      <c r="D723">
        <v>4.76</v>
      </c>
      <c r="E723" s="2">
        <f>Portfolio_Data_ProductGroups[[#This Row],[Profit_EUR_m]]/Portfolio_Data_ProductGroups[[#This Row],[Revenue_EUR_m]]</f>
        <v>0.4550669216061185</v>
      </c>
    </row>
    <row r="724" spans="1:5" x14ac:dyDescent="0.3">
      <c r="A724" t="s">
        <v>730</v>
      </c>
      <c r="B724" t="s">
        <v>13</v>
      </c>
      <c r="C724">
        <v>12.83</v>
      </c>
      <c r="D724">
        <v>6.66</v>
      </c>
      <c r="E724" s="2">
        <f>Portfolio_Data_ProductGroups[[#This Row],[Profit_EUR_m]]/Portfolio_Data_ProductGroups[[#This Row],[Revenue_EUR_m]]</f>
        <v>0.51909586905689786</v>
      </c>
    </row>
    <row r="725" spans="1:5" x14ac:dyDescent="0.3">
      <c r="A725" t="s">
        <v>731</v>
      </c>
      <c r="B725" t="s">
        <v>5</v>
      </c>
      <c r="C725">
        <v>22.29</v>
      </c>
      <c r="D725">
        <v>3.91</v>
      </c>
      <c r="E725" s="2">
        <f>Portfolio_Data_ProductGroups[[#This Row],[Profit_EUR_m]]/Portfolio_Data_ProductGroups[[#This Row],[Revenue_EUR_m]]</f>
        <v>0.17541498429789146</v>
      </c>
    </row>
    <row r="726" spans="1:5" x14ac:dyDescent="0.3">
      <c r="A726" t="s">
        <v>732</v>
      </c>
      <c r="B726" t="s">
        <v>9</v>
      </c>
      <c r="C726">
        <v>8.58</v>
      </c>
      <c r="D726">
        <v>2.42</v>
      </c>
      <c r="E726" s="2">
        <f>Portfolio_Data_ProductGroups[[#This Row],[Profit_EUR_m]]/Portfolio_Data_ProductGroups[[#This Row],[Revenue_EUR_m]]</f>
        <v>0.28205128205128205</v>
      </c>
    </row>
    <row r="727" spans="1:5" x14ac:dyDescent="0.3">
      <c r="A727" t="s">
        <v>733</v>
      </c>
      <c r="B727" t="s">
        <v>7</v>
      </c>
      <c r="C727">
        <v>5.69</v>
      </c>
      <c r="D727">
        <v>1.42</v>
      </c>
      <c r="E727" s="2">
        <f>Portfolio_Data_ProductGroups[[#This Row],[Profit_EUR_m]]/Portfolio_Data_ProductGroups[[#This Row],[Revenue_EUR_m]]</f>
        <v>0.24956063268892792</v>
      </c>
    </row>
    <row r="728" spans="1:5" x14ac:dyDescent="0.3">
      <c r="A728" t="s">
        <v>734</v>
      </c>
      <c r="B728" t="s">
        <v>7</v>
      </c>
      <c r="C728">
        <v>15.16</v>
      </c>
      <c r="D728">
        <v>2.83</v>
      </c>
      <c r="E728" s="2">
        <f>Portfolio_Data_ProductGroups[[#This Row],[Profit_EUR_m]]/Portfolio_Data_ProductGroups[[#This Row],[Revenue_EUR_m]]</f>
        <v>0.1866754617414248</v>
      </c>
    </row>
    <row r="729" spans="1:5" x14ac:dyDescent="0.3">
      <c r="A729" t="s">
        <v>735</v>
      </c>
      <c r="B729" t="s">
        <v>5</v>
      </c>
      <c r="C729">
        <v>9.6199999999999992</v>
      </c>
      <c r="D729">
        <v>2.63</v>
      </c>
      <c r="E729" s="2">
        <f>Portfolio_Data_ProductGroups[[#This Row],[Profit_EUR_m]]/Portfolio_Data_ProductGroups[[#This Row],[Revenue_EUR_m]]</f>
        <v>0.27338877338877338</v>
      </c>
    </row>
    <row r="730" spans="1:5" x14ac:dyDescent="0.3">
      <c r="A730" t="s">
        <v>736</v>
      </c>
      <c r="B730" t="s">
        <v>5</v>
      </c>
      <c r="C730">
        <v>18.68</v>
      </c>
      <c r="D730">
        <v>6.85</v>
      </c>
      <c r="E730" s="2">
        <f>Portfolio_Data_ProductGroups[[#This Row],[Profit_EUR_m]]/Portfolio_Data_ProductGroups[[#This Row],[Revenue_EUR_m]]</f>
        <v>0.36670235546038543</v>
      </c>
    </row>
    <row r="731" spans="1:5" x14ac:dyDescent="0.3">
      <c r="A731" t="s">
        <v>737</v>
      </c>
      <c r="B731" t="s">
        <v>7</v>
      </c>
      <c r="C731">
        <v>28.29</v>
      </c>
      <c r="D731">
        <v>5.99</v>
      </c>
      <c r="E731" s="2">
        <f>Portfolio_Data_ProductGroups[[#This Row],[Profit_EUR_m]]/Portfolio_Data_ProductGroups[[#This Row],[Revenue_EUR_m]]</f>
        <v>0.21173559561682576</v>
      </c>
    </row>
    <row r="732" spans="1:5" x14ac:dyDescent="0.3">
      <c r="A732" t="s">
        <v>738</v>
      </c>
      <c r="B732" t="s">
        <v>13</v>
      </c>
      <c r="C732">
        <v>15.8</v>
      </c>
      <c r="D732">
        <v>8.7100000000000009</v>
      </c>
      <c r="E732" s="2">
        <f>Portfolio_Data_ProductGroups[[#This Row],[Profit_EUR_m]]/Portfolio_Data_ProductGroups[[#This Row],[Revenue_EUR_m]]</f>
        <v>0.55126582278481018</v>
      </c>
    </row>
    <row r="733" spans="1:5" x14ac:dyDescent="0.3">
      <c r="A733" t="s">
        <v>739</v>
      </c>
      <c r="B733" t="s">
        <v>5</v>
      </c>
      <c r="C733">
        <v>21.61</v>
      </c>
      <c r="D733">
        <v>5</v>
      </c>
      <c r="E733" s="2">
        <f>Portfolio_Data_ProductGroups[[#This Row],[Profit_EUR_m]]/Portfolio_Data_ProductGroups[[#This Row],[Revenue_EUR_m]]</f>
        <v>0.23137436372049977</v>
      </c>
    </row>
    <row r="734" spans="1:5" x14ac:dyDescent="0.3">
      <c r="A734" t="s">
        <v>740</v>
      </c>
      <c r="B734" t="s">
        <v>9</v>
      </c>
      <c r="C734">
        <v>5.41</v>
      </c>
      <c r="D734">
        <v>1.18</v>
      </c>
      <c r="E734" s="2">
        <f>Portfolio_Data_ProductGroups[[#This Row],[Profit_EUR_m]]/Portfolio_Data_ProductGroups[[#This Row],[Revenue_EUR_m]]</f>
        <v>0.21811460258780035</v>
      </c>
    </row>
    <row r="735" spans="1:5" x14ac:dyDescent="0.3">
      <c r="A735" t="s">
        <v>741</v>
      </c>
      <c r="B735" t="s">
        <v>5</v>
      </c>
      <c r="C735">
        <v>16.43</v>
      </c>
      <c r="D735">
        <v>4.79</v>
      </c>
      <c r="E735" s="2">
        <f>Portfolio_Data_ProductGroups[[#This Row],[Profit_EUR_m]]/Portfolio_Data_ProductGroups[[#This Row],[Revenue_EUR_m]]</f>
        <v>0.29153986609860011</v>
      </c>
    </row>
    <row r="736" spans="1:5" x14ac:dyDescent="0.3">
      <c r="A736" t="s">
        <v>742</v>
      </c>
      <c r="B736" t="s">
        <v>13</v>
      </c>
      <c r="C736">
        <v>9.6999999999999993</v>
      </c>
      <c r="D736">
        <v>3.39</v>
      </c>
      <c r="E736" s="2">
        <f>Portfolio_Data_ProductGroups[[#This Row],[Profit_EUR_m]]/Portfolio_Data_ProductGroups[[#This Row],[Revenue_EUR_m]]</f>
        <v>0.34948453608247426</v>
      </c>
    </row>
    <row r="737" spans="1:5" x14ac:dyDescent="0.3">
      <c r="A737" t="s">
        <v>743</v>
      </c>
      <c r="B737" t="s">
        <v>7</v>
      </c>
      <c r="C737">
        <v>26.9</v>
      </c>
      <c r="D737">
        <v>8.34</v>
      </c>
      <c r="E737" s="2">
        <f>Portfolio_Data_ProductGroups[[#This Row],[Profit_EUR_m]]/Portfolio_Data_ProductGroups[[#This Row],[Revenue_EUR_m]]</f>
        <v>0.31003717472118958</v>
      </c>
    </row>
    <row r="738" spans="1:5" x14ac:dyDescent="0.3">
      <c r="A738" t="s">
        <v>744</v>
      </c>
      <c r="B738" t="s">
        <v>7</v>
      </c>
      <c r="C738">
        <v>21</v>
      </c>
      <c r="D738">
        <v>4.96</v>
      </c>
      <c r="E738" s="2">
        <f>Portfolio_Data_ProductGroups[[#This Row],[Profit_EUR_m]]/Portfolio_Data_ProductGroups[[#This Row],[Revenue_EUR_m]]</f>
        <v>0.2361904761904762</v>
      </c>
    </row>
    <row r="739" spans="1:5" x14ac:dyDescent="0.3">
      <c r="A739" t="s">
        <v>745</v>
      </c>
      <c r="B739" t="s">
        <v>9</v>
      </c>
      <c r="C739">
        <v>30.27</v>
      </c>
      <c r="D739">
        <v>9.5500000000000007</v>
      </c>
      <c r="E739" s="2">
        <f>Portfolio_Data_ProductGroups[[#This Row],[Profit_EUR_m]]/Portfolio_Data_ProductGroups[[#This Row],[Revenue_EUR_m]]</f>
        <v>0.31549388833828879</v>
      </c>
    </row>
    <row r="740" spans="1:5" x14ac:dyDescent="0.3">
      <c r="A740" t="s">
        <v>746</v>
      </c>
      <c r="B740" t="s">
        <v>9</v>
      </c>
      <c r="C740">
        <v>21.23</v>
      </c>
      <c r="D740">
        <v>4.32</v>
      </c>
      <c r="E740" s="2">
        <f>Portfolio_Data_ProductGroups[[#This Row],[Profit_EUR_m]]/Portfolio_Data_ProductGroups[[#This Row],[Revenue_EUR_m]]</f>
        <v>0.20348563353744703</v>
      </c>
    </row>
    <row r="741" spans="1:5" x14ac:dyDescent="0.3">
      <c r="A741" t="s">
        <v>747</v>
      </c>
      <c r="B741" t="s">
        <v>7</v>
      </c>
      <c r="C741">
        <v>5.0999999999999996</v>
      </c>
      <c r="D741">
        <v>0.95</v>
      </c>
      <c r="E741" s="2">
        <f>Portfolio_Data_ProductGroups[[#This Row],[Profit_EUR_m]]/Portfolio_Data_ProductGroups[[#This Row],[Revenue_EUR_m]]</f>
        <v>0.18627450980392157</v>
      </c>
    </row>
    <row r="742" spans="1:5" x14ac:dyDescent="0.3">
      <c r="A742" t="s">
        <v>748</v>
      </c>
      <c r="B742" t="s">
        <v>9</v>
      </c>
      <c r="C742">
        <v>18.73</v>
      </c>
      <c r="D742">
        <v>1.67</v>
      </c>
      <c r="E742" s="2">
        <f>Portfolio_Data_ProductGroups[[#This Row],[Profit_EUR_m]]/Portfolio_Data_ProductGroups[[#This Row],[Revenue_EUR_m]]</f>
        <v>8.9161772557394547E-2</v>
      </c>
    </row>
    <row r="743" spans="1:5" x14ac:dyDescent="0.3">
      <c r="A743" t="s">
        <v>749</v>
      </c>
      <c r="B743" t="s">
        <v>7</v>
      </c>
      <c r="C743">
        <v>5.73</v>
      </c>
      <c r="D743">
        <v>1.7</v>
      </c>
      <c r="E743" s="2">
        <f>Portfolio_Data_ProductGroups[[#This Row],[Profit_EUR_m]]/Portfolio_Data_ProductGroups[[#This Row],[Revenue_EUR_m]]</f>
        <v>0.29668411867364741</v>
      </c>
    </row>
    <row r="744" spans="1:5" x14ac:dyDescent="0.3">
      <c r="A744" t="s">
        <v>750</v>
      </c>
      <c r="B744" t="s">
        <v>7</v>
      </c>
      <c r="C744">
        <v>30.58</v>
      </c>
      <c r="D744">
        <v>8</v>
      </c>
      <c r="E744" s="2">
        <f>Portfolio_Data_ProductGroups[[#This Row],[Profit_EUR_m]]/Portfolio_Data_ProductGroups[[#This Row],[Revenue_EUR_m]]</f>
        <v>0.26160889470241988</v>
      </c>
    </row>
    <row r="745" spans="1:5" x14ac:dyDescent="0.3">
      <c r="A745" t="s">
        <v>751</v>
      </c>
      <c r="B745" t="s">
        <v>5</v>
      </c>
      <c r="C745">
        <v>24.78</v>
      </c>
      <c r="D745">
        <v>7.7</v>
      </c>
      <c r="E745" s="2">
        <f>Portfolio_Data_ProductGroups[[#This Row],[Profit_EUR_m]]/Portfolio_Data_ProductGroups[[#This Row],[Revenue_EUR_m]]</f>
        <v>0.31073446327683613</v>
      </c>
    </row>
    <row r="746" spans="1:5" x14ac:dyDescent="0.3">
      <c r="A746" t="s">
        <v>752</v>
      </c>
      <c r="B746" t="s">
        <v>7</v>
      </c>
      <c r="C746">
        <v>8.6199999999999992</v>
      </c>
      <c r="D746">
        <v>2.5099999999999998</v>
      </c>
      <c r="E746" s="2">
        <f>Portfolio_Data_ProductGroups[[#This Row],[Profit_EUR_m]]/Portfolio_Data_ProductGroups[[#This Row],[Revenue_EUR_m]]</f>
        <v>0.29118329466357307</v>
      </c>
    </row>
    <row r="747" spans="1:5" x14ac:dyDescent="0.3">
      <c r="A747" t="s">
        <v>753</v>
      </c>
      <c r="B747" t="s">
        <v>7</v>
      </c>
      <c r="C747">
        <v>32.369999999999997</v>
      </c>
      <c r="D747">
        <v>8.8699999999999992</v>
      </c>
      <c r="E747" s="2">
        <f>Portfolio_Data_ProductGroups[[#This Row],[Profit_EUR_m]]/Portfolio_Data_ProductGroups[[#This Row],[Revenue_EUR_m]]</f>
        <v>0.27401915353722583</v>
      </c>
    </row>
    <row r="748" spans="1:5" x14ac:dyDescent="0.3">
      <c r="A748" t="s">
        <v>754</v>
      </c>
      <c r="B748" t="s">
        <v>7</v>
      </c>
      <c r="C748">
        <v>30.29</v>
      </c>
      <c r="D748">
        <v>9.58</v>
      </c>
      <c r="E748" s="2">
        <f>Portfolio_Data_ProductGroups[[#This Row],[Profit_EUR_m]]/Portfolio_Data_ProductGroups[[#This Row],[Revenue_EUR_m]]</f>
        <v>0.31627599867943218</v>
      </c>
    </row>
    <row r="749" spans="1:5" x14ac:dyDescent="0.3">
      <c r="A749" t="s">
        <v>755</v>
      </c>
      <c r="B749" t="s">
        <v>5</v>
      </c>
      <c r="C749">
        <v>31.93</v>
      </c>
      <c r="D749">
        <v>9.31</v>
      </c>
      <c r="E749" s="2">
        <f>Portfolio_Data_ProductGroups[[#This Row],[Profit_EUR_m]]/Portfolio_Data_ProductGroups[[#This Row],[Revenue_EUR_m]]</f>
        <v>0.29157532101471972</v>
      </c>
    </row>
    <row r="750" spans="1:5" x14ac:dyDescent="0.3">
      <c r="A750" t="s">
        <v>756</v>
      </c>
      <c r="B750" t="s">
        <v>13</v>
      </c>
      <c r="C750">
        <v>13.2</v>
      </c>
      <c r="D750">
        <v>7.4</v>
      </c>
      <c r="E750" s="2">
        <f>Portfolio_Data_ProductGroups[[#This Row],[Profit_EUR_m]]/Portfolio_Data_ProductGroups[[#This Row],[Revenue_EUR_m]]</f>
        <v>0.56060606060606066</v>
      </c>
    </row>
    <row r="751" spans="1:5" x14ac:dyDescent="0.3">
      <c r="A751" t="s">
        <v>757</v>
      </c>
      <c r="B751" t="s">
        <v>7</v>
      </c>
      <c r="C751">
        <v>10.050000000000001</v>
      </c>
      <c r="D751">
        <v>4.0599999999999996</v>
      </c>
      <c r="E751" s="2">
        <f>Portfolio_Data_ProductGroups[[#This Row],[Profit_EUR_m]]/Portfolio_Data_ProductGroups[[#This Row],[Revenue_EUR_m]]</f>
        <v>0.40398009950248748</v>
      </c>
    </row>
    <row r="752" spans="1:5" x14ac:dyDescent="0.3">
      <c r="A752" t="s">
        <v>758</v>
      </c>
      <c r="B752" t="s">
        <v>13</v>
      </c>
      <c r="C752">
        <v>5.0999999999999996</v>
      </c>
      <c r="D752">
        <v>2.29</v>
      </c>
      <c r="E752" s="2">
        <f>Portfolio_Data_ProductGroups[[#This Row],[Profit_EUR_m]]/Portfolio_Data_ProductGroups[[#This Row],[Revenue_EUR_m]]</f>
        <v>0.44901960784313727</v>
      </c>
    </row>
    <row r="753" spans="1:5" x14ac:dyDescent="0.3">
      <c r="A753" t="s">
        <v>759</v>
      </c>
      <c r="B753" t="s">
        <v>5</v>
      </c>
      <c r="C753">
        <v>12.16</v>
      </c>
      <c r="D753">
        <v>1.73</v>
      </c>
      <c r="E753" s="2">
        <f>Portfolio_Data_ProductGroups[[#This Row],[Profit_EUR_m]]/Portfolio_Data_ProductGroups[[#This Row],[Revenue_EUR_m]]</f>
        <v>0.14226973684210525</v>
      </c>
    </row>
    <row r="754" spans="1:5" x14ac:dyDescent="0.3">
      <c r="A754" t="s">
        <v>760</v>
      </c>
      <c r="B754" t="s">
        <v>9</v>
      </c>
      <c r="C754">
        <v>17.64</v>
      </c>
      <c r="D754">
        <v>3.09</v>
      </c>
      <c r="E754" s="2">
        <f>Portfolio_Data_ProductGroups[[#This Row],[Profit_EUR_m]]/Portfolio_Data_ProductGroups[[#This Row],[Revenue_EUR_m]]</f>
        <v>0.17517006802721086</v>
      </c>
    </row>
    <row r="755" spans="1:5" x14ac:dyDescent="0.3">
      <c r="A755" t="s">
        <v>761</v>
      </c>
      <c r="B755" t="s">
        <v>13</v>
      </c>
      <c r="C755">
        <v>14.84</v>
      </c>
      <c r="D755">
        <v>7.9</v>
      </c>
      <c r="E755" s="2">
        <f>Portfolio_Data_ProductGroups[[#This Row],[Profit_EUR_m]]/Portfolio_Data_ProductGroups[[#This Row],[Revenue_EUR_m]]</f>
        <v>0.53234501347708896</v>
      </c>
    </row>
    <row r="756" spans="1:5" x14ac:dyDescent="0.3">
      <c r="A756" t="s">
        <v>762</v>
      </c>
      <c r="B756" t="s">
        <v>9</v>
      </c>
      <c r="C756">
        <v>29.44</v>
      </c>
      <c r="D756">
        <v>8.15</v>
      </c>
      <c r="E756" s="2">
        <f>Portfolio_Data_ProductGroups[[#This Row],[Profit_EUR_m]]/Portfolio_Data_ProductGroups[[#This Row],[Revenue_EUR_m]]</f>
        <v>0.27683423913043476</v>
      </c>
    </row>
    <row r="757" spans="1:5" x14ac:dyDescent="0.3">
      <c r="A757" t="s">
        <v>763</v>
      </c>
      <c r="B757" t="s">
        <v>9</v>
      </c>
      <c r="C757">
        <v>6.28</v>
      </c>
      <c r="D757">
        <v>1.37</v>
      </c>
      <c r="E757" s="2">
        <f>Portfolio_Data_ProductGroups[[#This Row],[Profit_EUR_m]]/Portfolio_Data_ProductGroups[[#This Row],[Revenue_EUR_m]]</f>
        <v>0.21815286624203822</v>
      </c>
    </row>
    <row r="758" spans="1:5" x14ac:dyDescent="0.3">
      <c r="A758" t="s">
        <v>764</v>
      </c>
      <c r="B758" t="s">
        <v>5</v>
      </c>
      <c r="C758">
        <v>8.4600000000000009</v>
      </c>
      <c r="D758">
        <v>1.59</v>
      </c>
      <c r="E758" s="2">
        <f>Portfolio_Data_ProductGroups[[#This Row],[Profit_EUR_m]]/Portfolio_Data_ProductGroups[[#This Row],[Revenue_EUR_m]]</f>
        <v>0.18794326241134751</v>
      </c>
    </row>
    <row r="759" spans="1:5" x14ac:dyDescent="0.3">
      <c r="A759" t="s">
        <v>765</v>
      </c>
      <c r="B759" t="s">
        <v>9</v>
      </c>
      <c r="C759">
        <v>30.77</v>
      </c>
      <c r="D759">
        <v>6.2</v>
      </c>
      <c r="E759" s="2">
        <f>Portfolio_Data_ProductGroups[[#This Row],[Profit_EUR_m]]/Portfolio_Data_ProductGroups[[#This Row],[Revenue_EUR_m]]</f>
        <v>0.20149496262593436</v>
      </c>
    </row>
    <row r="760" spans="1:5" x14ac:dyDescent="0.3">
      <c r="A760" t="s">
        <v>766</v>
      </c>
      <c r="B760" t="s">
        <v>5</v>
      </c>
      <c r="C760">
        <v>22.73</v>
      </c>
      <c r="D760">
        <v>7.15</v>
      </c>
      <c r="E760" s="2">
        <f>Portfolio_Data_ProductGroups[[#This Row],[Profit_EUR_m]]/Portfolio_Data_ProductGroups[[#This Row],[Revenue_EUR_m]]</f>
        <v>0.31456225252969644</v>
      </c>
    </row>
    <row r="761" spans="1:5" x14ac:dyDescent="0.3">
      <c r="A761" t="s">
        <v>767</v>
      </c>
      <c r="B761" t="s">
        <v>5</v>
      </c>
      <c r="C761">
        <v>22.26</v>
      </c>
      <c r="D761">
        <v>6.72</v>
      </c>
      <c r="E761" s="2">
        <f>Portfolio_Data_ProductGroups[[#This Row],[Profit_EUR_m]]/Portfolio_Data_ProductGroups[[#This Row],[Revenue_EUR_m]]</f>
        <v>0.30188679245283018</v>
      </c>
    </row>
    <row r="762" spans="1:5" x14ac:dyDescent="0.3">
      <c r="A762" t="s">
        <v>768</v>
      </c>
      <c r="B762" t="s">
        <v>5</v>
      </c>
      <c r="C762">
        <v>15.13</v>
      </c>
      <c r="D762">
        <v>4.28</v>
      </c>
      <c r="E762" s="2">
        <f>Portfolio_Data_ProductGroups[[#This Row],[Profit_EUR_m]]/Portfolio_Data_ProductGroups[[#This Row],[Revenue_EUR_m]]</f>
        <v>0.28288169200264374</v>
      </c>
    </row>
    <row r="763" spans="1:5" x14ac:dyDescent="0.3">
      <c r="A763" t="s">
        <v>769</v>
      </c>
      <c r="B763" t="s">
        <v>9</v>
      </c>
      <c r="C763">
        <v>41.04</v>
      </c>
      <c r="D763">
        <v>11.09</v>
      </c>
      <c r="E763" s="2">
        <f>Portfolio_Data_ProductGroups[[#This Row],[Profit_EUR_m]]/Portfolio_Data_ProductGroups[[#This Row],[Revenue_EUR_m]]</f>
        <v>0.27022417153996103</v>
      </c>
    </row>
    <row r="764" spans="1:5" x14ac:dyDescent="0.3">
      <c r="A764" t="s">
        <v>770</v>
      </c>
      <c r="B764" t="s">
        <v>7</v>
      </c>
      <c r="C764">
        <v>19.09</v>
      </c>
      <c r="D764">
        <v>5.93</v>
      </c>
      <c r="E764" s="2">
        <f>Portfolio_Data_ProductGroups[[#This Row],[Profit_EUR_m]]/Portfolio_Data_ProductGroups[[#This Row],[Revenue_EUR_m]]</f>
        <v>0.3106338397066527</v>
      </c>
    </row>
    <row r="765" spans="1:5" x14ac:dyDescent="0.3">
      <c r="A765" t="s">
        <v>771</v>
      </c>
      <c r="B765" t="s">
        <v>5</v>
      </c>
      <c r="C765">
        <v>16.04</v>
      </c>
      <c r="D765">
        <v>6.36</v>
      </c>
      <c r="E765" s="2">
        <f>Portfolio_Data_ProductGroups[[#This Row],[Profit_EUR_m]]/Portfolio_Data_ProductGroups[[#This Row],[Revenue_EUR_m]]</f>
        <v>0.39650872817955118</v>
      </c>
    </row>
    <row r="766" spans="1:5" x14ac:dyDescent="0.3">
      <c r="A766" t="s">
        <v>772</v>
      </c>
      <c r="B766" t="s">
        <v>5</v>
      </c>
      <c r="C766">
        <v>55.79</v>
      </c>
      <c r="D766">
        <v>12.97</v>
      </c>
      <c r="E766" s="2">
        <f>Portfolio_Data_ProductGroups[[#This Row],[Profit_EUR_m]]/Portfolio_Data_ProductGroups[[#This Row],[Revenue_EUR_m]]</f>
        <v>0.23247893887793514</v>
      </c>
    </row>
    <row r="767" spans="1:5" x14ac:dyDescent="0.3">
      <c r="A767" t="s">
        <v>773</v>
      </c>
      <c r="B767" t="s">
        <v>9</v>
      </c>
      <c r="C767">
        <v>10.79</v>
      </c>
      <c r="D767">
        <v>0.82</v>
      </c>
      <c r="E767" s="2">
        <f>Portfolio_Data_ProductGroups[[#This Row],[Profit_EUR_m]]/Portfolio_Data_ProductGroups[[#This Row],[Revenue_EUR_m]]</f>
        <v>7.5996292863762749E-2</v>
      </c>
    </row>
    <row r="768" spans="1:5" x14ac:dyDescent="0.3">
      <c r="A768" t="s">
        <v>774</v>
      </c>
      <c r="B768" t="s">
        <v>9</v>
      </c>
      <c r="C768">
        <v>25.82</v>
      </c>
      <c r="D768">
        <v>6.34</v>
      </c>
      <c r="E768" s="2">
        <f>Portfolio_Data_ProductGroups[[#This Row],[Profit_EUR_m]]/Portfolio_Data_ProductGroups[[#This Row],[Revenue_EUR_m]]</f>
        <v>0.24554608830364058</v>
      </c>
    </row>
    <row r="769" spans="1:5" x14ac:dyDescent="0.3">
      <c r="A769" t="s">
        <v>775</v>
      </c>
      <c r="B769" t="s">
        <v>5</v>
      </c>
      <c r="C769">
        <v>10.85</v>
      </c>
      <c r="D769">
        <v>2.1</v>
      </c>
      <c r="E769" s="2">
        <f>Portfolio_Data_ProductGroups[[#This Row],[Profit_EUR_m]]/Portfolio_Data_ProductGroups[[#This Row],[Revenue_EUR_m]]</f>
        <v>0.19354838709677422</v>
      </c>
    </row>
    <row r="770" spans="1:5" x14ac:dyDescent="0.3">
      <c r="A770" t="s">
        <v>776</v>
      </c>
      <c r="B770" t="s">
        <v>13</v>
      </c>
      <c r="C770">
        <v>7.61</v>
      </c>
      <c r="D770">
        <v>3.86</v>
      </c>
      <c r="E770" s="2">
        <f>Portfolio_Data_ProductGroups[[#This Row],[Profit_EUR_m]]/Portfolio_Data_ProductGroups[[#This Row],[Revenue_EUR_m]]</f>
        <v>0.50722733245729301</v>
      </c>
    </row>
    <row r="771" spans="1:5" x14ac:dyDescent="0.3">
      <c r="A771" t="s">
        <v>777</v>
      </c>
      <c r="B771" t="s">
        <v>7</v>
      </c>
      <c r="C771">
        <v>20.13</v>
      </c>
      <c r="D771">
        <v>5.69</v>
      </c>
      <c r="E771" s="2">
        <f>Portfolio_Data_ProductGroups[[#This Row],[Profit_EUR_m]]/Portfolio_Data_ProductGroups[[#This Row],[Revenue_EUR_m]]</f>
        <v>0.28266269249875808</v>
      </c>
    </row>
    <row r="772" spans="1:5" x14ac:dyDescent="0.3">
      <c r="A772" t="s">
        <v>778</v>
      </c>
      <c r="B772" t="s">
        <v>9</v>
      </c>
      <c r="C772">
        <v>18.11</v>
      </c>
      <c r="D772">
        <v>4.96</v>
      </c>
      <c r="E772" s="2">
        <f>Portfolio_Data_ProductGroups[[#This Row],[Profit_EUR_m]]/Portfolio_Data_ProductGroups[[#This Row],[Revenue_EUR_m]]</f>
        <v>0.27388183324130316</v>
      </c>
    </row>
    <row r="773" spans="1:5" x14ac:dyDescent="0.3">
      <c r="A773" t="s">
        <v>779</v>
      </c>
      <c r="B773" t="s">
        <v>5</v>
      </c>
      <c r="C773">
        <v>14.85</v>
      </c>
      <c r="D773">
        <v>4.4000000000000004</v>
      </c>
      <c r="E773" s="2">
        <f>Portfolio_Data_ProductGroups[[#This Row],[Profit_EUR_m]]/Portfolio_Data_ProductGroups[[#This Row],[Revenue_EUR_m]]</f>
        <v>0.29629629629629634</v>
      </c>
    </row>
    <row r="774" spans="1:5" x14ac:dyDescent="0.3">
      <c r="A774" t="s">
        <v>780</v>
      </c>
      <c r="B774" t="s">
        <v>7</v>
      </c>
      <c r="C774">
        <v>3.33</v>
      </c>
      <c r="D774">
        <v>0.99</v>
      </c>
      <c r="E774" s="2">
        <f>Portfolio_Data_ProductGroups[[#This Row],[Profit_EUR_m]]/Portfolio_Data_ProductGroups[[#This Row],[Revenue_EUR_m]]</f>
        <v>0.29729729729729731</v>
      </c>
    </row>
    <row r="775" spans="1:5" x14ac:dyDescent="0.3">
      <c r="A775" t="s">
        <v>781</v>
      </c>
      <c r="B775" t="s">
        <v>9</v>
      </c>
      <c r="C775">
        <v>13.17</v>
      </c>
      <c r="D775">
        <v>3.34</v>
      </c>
      <c r="E775" s="2">
        <f>Portfolio_Data_ProductGroups[[#This Row],[Profit_EUR_m]]/Portfolio_Data_ProductGroups[[#This Row],[Revenue_EUR_m]]</f>
        <v>0.25360668185269553</v>
      </c>
    </row>
    <row r="776" spans="1:5" x14ac:dyDescent="0.3">
      <c r="A776" t="s">
        <v>782</v>
      </c>
      <c r="B776" t="s">
        <v>5</v>
      </c>
      <c r="C776">
        <v>18.489999999999998</v>
      </c>
      <c r="D776">
        <v>3.17</v>
      </c>
      <c r="E776" s="2">
        <f>Portfolio_Data_ProductGroups[[#This Row],[Profit_EUR_m]]/Portfolio_Data_ProductGroups[[#This Row],[Revenue_EUR_m]]</f>
        <v>0.17144402379664686</v>
      </c>
    </row>
    <row r="777" spans="1:5" x14ac:dyDescent="0.3">
      <c r="A777" t="s">
        <v>783</v>
      </c>
      <c r="B777" t="s">
        <v>7</v>
      </c>
      <c r="C777">
        <v>28.98</v>
      </c>
      <c r="D777">
        <v>8.39</v>
      </c>
      <c r="E777" s="2">
        <f>Portfolio_Data_ProductGroups[[#This Row],[Profit_EUR_m]]/Portfolio_Data_ProductGroups[[#This Row],[Revenue_EUR_m]]</f>
        <v>0.28951000690131129</v>
      </c>
    </row>
    <row r="778" spans="1:5" x14ac:dyDescent="0.3">
      <c r="A778" t="s">
        <v>784</v>
      </c>
      <c r="B778" t="s">
        <v>9</v>
      </c>
      <c r="C778">
        <v>28.3</v>
      </c>
      <c r="D778">
        <v>5.58</v>
      </c>
      <c r="E778" s="2">
        <f>Portfolio_Data_ProductGroups[[#This Row],[Profit_EUR_m]]/Portfolio_Data_ProductGroups[[#This Row],[Revenue_EUR_m]]</f>
        <v>0.19717314487632509</v>
      </c>
    </row>
    <row r="779" spans="1:5" x14ac:dyDescent="0.3">
      <c r="A779" t="s">
        <v>785</v>
      </c>
      <c r="B779" t="s">
        <v>5</v>
      </c>
      <c r="C779">
        <v>11.71</v>
      </c>
      <c r="D779">
        <v>2.12</v>
      </c>
      <c r="E779" s="2">
        <f>Portfolio_Data_ProductGroups[[#This Row],[Profit_EUR_m]]/Portfolio_Data_ProductGroups[[#This Row],[Revenue_EUR_m]]</f>
        <v>0.18104184457728437</v>
      </c>
    </row>
    <row r="780" spans="1:5" x14ac:dyDescent="0.3">
      <c r="A780" t="s">
        <v>786</v>
      </c>
      <c r="B780" t="s">
        <v>5</v>
      </c>
      <c r="C780">
        <v>13.96</v>
      </c>
      <c r="D780">
        <v>2.91</v>
      </c>
      <c r="E780" s="2">
        <f>Portfolio_Data_ProductGroups[[#This Row],[Profit_EUR_m]]/Portfolio_Data_ProductGroups[[#This Row],[Revenue_EUR_m]]</f>
        <v>0.20845272206303725</v>
      </c>
    </row>
    <row r="781" spans="1:5" x14ac:dyDescent="0.3">
      <c r="A781" t="s">
        <v>787</v>
      </c>
      <c r="B781" t="s">
        <v>5</v>
      </c>
      <c r="C781">
        <v>76.05</v>
      </c>
      <c r="D781">
        <v>20.23</v>
      </c>
      <c r="E781" s="2">
        <f>Portfolio_Data_ProductGroups[[#This Row],[Profit_EUR_m]]/Portfolio_Data_ProductGroups[[#This Row],[Revenue_EUR_m]]</f>
        <v>0.26600920447074294</v>
      </c>
    </row>
    <row r="782" spans="1:5" x14ac:dyDescent="0.3">
      <c r="A782" t="s">
        <v>788</v>
      </c>
      <c r="B782" t="s">
        <v>9</v>
      </c>
      <c r="C782">
        <v>18.52</v>
      </c>
      <c r="D782">
        <v>3.29</v>
      </c>
      <c r="E782" s="2">
        <f>Portfolio_Data_ProductGroups[[#This Row],[Profit_EUR_m]]/Portfolio_Data_ProductGroups[[#This Row],[Revenue_EUR_m]]</f>
        <v>0.17764578833693306</v>
      </c>
    </row>
    <row r="783" spans="1:5" x14ac:dyDescent="0.3">
      <c r="A783" t="s">
        <v>789</v>
      </c>
      <c r="B783" t="s">
        <v>7</v>
      </c>
      <c r="C783">
        <v>12.88</v>
      </c>
      <c r="D783">
        <v>2.76</v>
      </c>
      <c r="E783" s="2">
        <f>Portfolio_Data_ProductGroups[[#This Row],[Profit_EUR_m]]/Portfolio_Data_ProductGroups[[#This Row],[Revenue_EUR_m]]</f>
        <v>0.21428571428571425</v>
      </c>
    </row>
    <row r="784" spans="1:5" x14ac:dyDescent="0.3">
      <c r="A784" t="s">
        <v>790</v>
      </c>
      <c r="B784" t="s">
        <v>13</v>
      </c>
      <c r="C784">
        <v>8.14</v>
      </c>
      <c r="D784">
        <v>4.49</v>
      </c>
      <c r="E784" s="2">
        <f>Portfolio_Data_ProductGroups[[#This Row],[Profit_EUR_m]]/Portfolio_Data_ProductGroups[[#This Row],[Revenue_EUR_m]]</f>
        <v>0.55159705159705164</v>
      </c>
    </row>
    <row r="785" spans="1:5" x14ac:dyDescent="0.3">
      <c r="A785" t="s">
        <v>791</v>
      </c>
      <c r="B785" t="s">
        <v>5</v>
      </c>
      <c r="C785">
        <v>19.13</v>
      </c>
      <c r="D785">
        <v>3.26</v>
      </c>
      <c r="E785" s="2">
        <f>Portfolio_Data_ProductGroups[[#This Row],[Profit_EUR_m]]/Portfolio_Data_ProductGroups[[#This Row],[Revenue_EUR_m]]</f>
        <v>0.17041296393099842</v>
      </c>
    </row>
    <row r="786" spans="1:5" x14ac:dyDescent="0.3">
      <c r="A786" t="s">
        <v>792</v>
      </c>
      <c r="B786" t="s">
        <v>9</v>
      </c>
      <c r="C786">
        <v>14.27</v>
      </c>
      <c r="D786">
        <v>2.0499999999999998</v>
      </c>
      <c r="E786" s="2">
        <f>Portfolio_Data_ProductGroups[[#This Row],[Profit_EUR_m]]/Portfolio_Data_ProductGroups[[#This Row],[Revenue_EUR_m]]</f>
        <v>0.14365802382620882</v>
      </c>
    </row>
    <row r="787" spans="1:5" x14ac:dyDescent="0.3">
      <c r="A787" t="s">
        <v>793</v>
      </c>
      <c r="B787" t="s">
        <v>9</v>
      </c>
      <c r="C787">
        <v>16.22</v>
      </c>
      <c r="D787">
        <v>4.1500000000000004</v>
      </c>
      <c r="E787" s="2">
        <f>Portfolio_Data_ProductGroups[[#This Row],[Profit_EUR_m]]/Portfolio_Data_ProductGroups[[#This Row],[Revenue_EUR_m]]</f>
        <v>0.25585696670776825</v>
      </c>
    </row>
    <row r="788" spans="1:5" x14ac:dyDescent="0.3">
      <c r="A788" t="s">
        <v>794</v>
      </c>
      <c r="B788" t="s">
        <v>13</v>
      </c>
      <c r="C788">
        <v>5.51</v>
      </c>
      <c r="D788">
        <v>2.59</v>
      </c>
      <c r="E788" s="2">
        <f>Portfolio_Data_ProductGroups[[#This Row],[Profit_EUR_m]]/Portfolio_Data_ProductGroups[[#This Row],[Revenue_EUR_m]]</f>
        <v>0.47005444646098005</v>
      </c>
    </row>
    <row r="789" spans="1:5" x14ac:dyDescent="0.3">
      <c r="A789" t="s">
        <v>795</v>
      </c>
      <c r="B789" t="s">
        <v>5</v>
      </c>
      <c r="C789">
        <v>62.12</v>
      </c>
      <c r="D789">
        <v>18.43</v>
      </c>
      <c r="E789" s="2">
        <f>Portfolio_Data_ProductGroups[[#This Row],[Profit_EUR_m]]/Portfolio_Data_ProductGroups[[#This Row],[Revenue_EUR_m]]</f>
        <v>0.29668383773341922</v>
      </c>
    </row>
    <row r="790" spans="1:5" x14ac:dyDescent="0.3">
      <c r="A790" t="s">
        <v>796</v>
      </c>
      <c r="B790" t="s">
        <v>7</v>
      </c>
      <c r="C790">
        <v>80.069999999999993</v>
      </c>
      <c r="D790">
        <v>20.65</v>
      </c>
      <c r="E790" s="2">
        <f>Portfolio_Data_ProductGroups[[#This Row],[Profit_EUR_m]]/Portfolio_Data_ProductGroups[[#This Row],[Revenue_EUR_m]]</f>
        <v>0.2578993380791807</v>
      </c>
    </row>
    <row r="791" spans="1:5" x14ac:dyDescent="0.3">
      <c r="A791" t="s">
        <v>797</v>
      </c>
      <c r="B791" t="s">
        <v>7</v>
      </c>
      <c r="C791">
        <v>7.84</v>
      </c>
      <c r="D791">
        <v>2.37</v>
      </c>
      <c r="E791" s="2">
        <f>Portfolio_Data_ProductGroups[[#This Row],[Profit_EUR_m]]/Portfolio_Data_ProductGroups[[#This Row],[Revenue_EUR_m]]</f>
        <v>0.30229591836734698</v>
      </c>
    </row>
    <row r="792" spans="1:5" x14ac:dyDescent="0.3">
      <c r="A792" t="s">
        <v>798</v>
      </c>
      <c r="B792" t="s">
        <v>9</v>
      </c>
      <c r="C792">
        <v>13.99</v>
      </c>
      <c r="D792">
        <v>1.34</v>
      </c>
      <c r="E792" s="2">
        <f>Portfolio_Data_ProductGroups[[#This Row],[Profit_EUR_m]]/Portfolio_Data_ProductGroups[[#This Row],[Revenue_EUR_m]]</f>
        <v>9.5782701929949962E-2</v>
      </c>
    </row>
    <row r="793" spans="1:5" x14ac:dyDescent="0.3">
      <c r="A793" t="s">
        <v>799</v>
      </c>
      <c r="B793" t="s">
        <v>9</v>
      </c>
      <c r="C793">
        <v>38.69</v>
      </c>
      <c r="D793">
        <v>8.66</v>
      </c>
      <c r="E793" s="2">
        <f>Portfolio_Data_ProductGroups[[#This Row],[Profit_EUR_m]]/Portfolio_Data_ProductGroups[[#This Row],[Revenue_EUR_m]]</f>
        <v>0.22383044714396486</v>
      </c>
    </row>
    <row r="794" spans="1:5" x14ac:dyDescent="0.3">
      <c r="A794" t="s">
        <v>800</v>
      </c>
      <c r="B794" t="s">
        <v>5</v>
      </c>
      <c r="C794">
        <v>20.37</v>
      </c>
      <c r="D794">
        <v>6.21</v>
      </c>
      <c r="E794" s="2">
        <f>Portfolio_Data_ProductGroups[[#This Row],[Profit_EUR_m]]/Portfolio_Data_ProductGroups[[#This Row],[Revenue_EUR_m]]</f>
        <v>0.30486008836524298</v>
      </c>
    </row>
    <row r="795" spans="1:5" x14ac:dyDescent="0.3">
      <c r="A795" t="s">
        <v>801</v>
      </c>
      <c r="B795" t="s">
        <v>7</v>
      </c>
      <c r="C795">
        <v>14.94</v>
      </c>
      <c r="D795">
        <v>3.99</v>
      </c>
      <c r="E795" s="2">
        <f>Portfolio_Data_ProductGroups[[#This Row],[Profit_EUR_m]]/Portfolio_Data_ProductGroups[[#This Row],[Revenue_EUR_m]]</f>
        <v>0.26706827309236952</v>
      </c>
    </row>
    <row r="796" spans="1:5" x14ac:dyDescent="0.3">
      <c r="A796" t="s">
        <v>802</v>
      </c>
      <c r="B796" t="s">
        <v>5</v>
      </c>
      <c r="C796">
        <v>20.46</v>
      </c>
      <c r="D796">
        <v>6.02</v>
      </c>
      <c r="E796" s="2">
        <f>Portfolio_Data_ProductGroups[[#This Row],[Profit_EUR_m]]/Portfolio_Data_ProductGroups[[#This Row],[Revenue_EUR_m]]</f>
        <v>0.29423264907135871</v>
      </c>
    </row>
    <row r="797" spans="1:5" x14ac:dyDescent="0.3">
      <c r="A797" t="s">
        <v>803</v>
      </c>
      <c r="B797" t="s">
        <v>13</v>
      </c>
      <c r="C797">
        <v>19.13</v>
      </c>
      <c r="D797">
        <v>11.16</v>
      </c>
      <c r="E797" s="2">
        <f>Portfolio_Data_ProductGroups[[#This Row],[Profit_EUR_m]]/Portfolio_Data_ProductGroups[[#This Row],[Revenue_EUR_m]]</f>
        <v>0.58337689492943023</v>
      </c>
    </row>
    <row r="798" spans="1:5" x14ac:dyDescent="0.3">
      <c r="A798" t="s">
        <v>804</v>
      </c>
      <c r="B798" t="s">
        <v>5</v>
      </c>
      <c r="C798">
        <v>50.79</v>
      </c>
      <c r="D798">
        <v>14.45</v>
      </c>
      <c r="E798" s="2">
        <f>Portfolio_Data_ProductGroups[[#This Row],[Profit_EUR_m]]/Portfolio_Data_ProductGroups[[#This Row],[Revenue_EUR_m]]</f>
        <v>0.28450482378420949</v>
      </c>
    </row>
    <row r="799" spans="1:5" x14ac:dyDescent="0.3">
      <c r="A799" t="s">
        <v>805</v>
      </c>
      <c r="B799" t="s">
        <v>7</v>
      </c>
      <c r="C799">
        <v>22.07</v>
      </c>
      <c r="D799">
        <v>6.56</v>
      </c>
      <c r="E799" s="2">
        <f>Portfolio_Data_ProductGroups[[#This Row],[Profit_EUR_m]]/Portfolio_Data_ProductGroups[[#This Row],[Revenue_EUR_m]]</f>
        <v>0.29723606705935657</v>
      </c>
    </row>
    <row r="800" spans="1:5" x14ac:dyDescent="0.3">
      <c r="A800" t="s">
        <v>806</v>
      </c>
      <c r="B800" t="s">
        <v>7</v>
      </c>
      <c r="C800">
        <v>18.079999999999998</v>
      </c>
      <c r="D800">
        <v>7.04</v>
      </c>
      <c r="E800" s="2">
        <f>Portfolio_Data_ProductGroups[[#This Row],[Profit_EUR_m]]/Portfolio_Data_ProductGroups[[#This Row],[Revenue_EUR_m]]</f>
        <v>0.38938053097345138</v>
      </c>
    </row>
    <row r="801" spans="1:5" x14ac:dyDescent="0.3">
      <c r="A801" t="s">
        <v>807</v>
      </c>
      <c r="B801" t="s">
        <v>9</v>
      </c>
      <c r="C801">
        <v>32</v>
      </c>
      <c r="D801">
        <v>8.08</v>
      </c>
      <c r="E801" s="2">
        <f>Portfolio_Data_ProductGroups[[#This Row],[Profit_EUR_m]]/Portfolio_Data_ProductGroups[[#This Row],[Revenue_EUR_m]]</f>
        <v>0.2525</v>
      </c>
    </row>
    <row r="802" spans="1:5" x14ac:dyDescent="0.3">
      <c r="A802" t="s">
        <v>808</v>
      </c>
      <c r="B802" t="s">
        <v>7</v>
      </c>
      <c r="C802">
        <v>11.17</v>
      </c>
      <c r="D802">
        <v>2.88</v>
      </c>
      <c r="E802" s="2">
        <f>Portfolio_Data_ProductGroups[[#This Row],[Profit_EUR_m]]/Portfolio_Data_ProductGroups[[#This Row],[Revenue_EUR_m]]</f>
        <v>0.25783348254252464</v>
      </c>
    </row>
    <row r="803" spans="1:5" x14ac:dyDescent="0.3">
      <c r="A803" t="s">
        <v>809</v>
      </c>
      <c r="B803" t="s">
        <v>7</v>
      </c>
      <c r="C803">
        <v>23.7</v>
      </c>
      <c r="D803">
        <v>6.79</v>
      </c>
      <c r="E803" s="2">
        <f>Portfolio_Data_ProductGroups[[#This Row],[Profit_EUR_m]]/Portfolio_Data_ProductGroups[[#This Row],[Revenue_EUR_m]]</f>
        <v>0.28649789029535866</v>
      </c>
    </row>
    <row r="804" spans="1:5" x14ac:dyDescent="0.3">
      <c r="A804" t="s">
        <v>810</v>
      </c>
      <c r="B804" t="s">
        <v>13</v>
      </c>
      <c r="C804">
        <v>10.36</v>
      </c>
      <c r="D804">
        <v>5.38</v>
      </c>
      <c r="E804" s="2">
        <f>Portfolio_Data_ProductGroups[[#This Row],[Profit_EUR_m]]/Portfolio_Data_ProductGroups[[#This Row],[Revenue_EUR_m]]</f>
        <v>0.51930501930501938</v>
      </c>
    </row>
    <row r="805" spans="1:5" x14ac:dyDescent="0.3">
      <c r="A805" t="s">
        <v>811</v>
      </c>
      <c r="B805" t="s">
        <v>7</v>
      </c>
      <c r="C805">
        <v>12.41</v>
      </c>
      <c r="D805">
        <v>3.55</v>
      </c>
      <c r="E805" s="2">
        <f>Portfolio_Data_ProductGroups[[#This Row],[Profit_EUR_m]]/Portfolio_Data_ProductGroups[[#This Row],[Revenue_EUR_m]]</f>
        <v>0.28605962933118451</v>
      </c>
    </row>
    <row r="806" spans="1:5" x14ac:dyDescent="0.3">
      <c r="A806" t="s">
        <v>812</v>
      </c>
      <c r="B806" t="s">
        <v>5</v>
      </c>
      <c r="C806">
        <v>21.07</v>
      </c>
      <c r="D806">
        <v>4.99</v>
      </c>
      <c r="E806" s="2">
        <f>Portfolio_Data_ProductGroups[[#This Row],[Profit_EUR_m]]/Portfolio_Data_ProductGroups[[#This Row],[Revenue_EUR_m]]</f>
        <v>0.23682961556715709</v>
      </c>
    </row>
    <row r="807" spans="1:5" x14ac:dyDescent="0.3">
      <c r="A807" t="s">
        <v>813</v>
      </c>
      <c r="B807" t="s">
        <v>13</v>
      </c>
      <c r="C807">
        <v>13</v>
      </c>
      <c r="D807">
        <v>5.17</v>
      </c>
      <c r="E807" s="2">
        <f>Portfolio_Data_ProductGroups[[#This Row],[Profit_EUR_m]]/Portfolio_Data_ProductGroups[[#This Row],[Revenue_EUR_m]]</f>
        <v>0.39769230769230768</v>
      </c>
    </row>
    <row r="808" spans="1:5" x14ac:dyDescent="0.3">
      <c r="A808" t="s">
        <v>814</v>
      </c>
      <c r="B808" t="s">
        <v>9</v>
      </c>
      <c r="C808">
        <v>10.97</v>
      </c>
      <c r="D808">
        <v>1.63</v>
      </c>
      <c r="E808" s="2">
        <f>Portfolio_Data_ProductGroups[[#This Row],[Profit_EUR_m]]/Portfolio_Data_ProductGroups[[#This Row],[Revenue_EUR_m]]</f>
        <v>0.1485870556061987</v>
      </c>
    </row>
    <row r="809" spans="1:5" x14ac:dyDescent="0.3">
      <c r="A809" t="s">
        <v>815</v>
      </c>
      <c r="B809" t="s">
        <v>5</v>
      </c>
      <c r="C809">
        <v>26.86</v>
      </c>
      <c r="D809">
        <v>4.5999999999999996</v>
      </c>
      <c r="E809" s="2">
        <f>Portfolio_Data_ProductGroups[[#This Row],[Profit_EUR_m]]/Portfolio_Data_ProductGroups[[#This Row],[Revenue_EUR_m]]</f>
        <v>0.17125837676842889</v>
      </c>
    </row>
    <row r="810" spans="1:5" x14ac:dyDescent="0.3">
      <c r="A810" t="s">
        <v>816</v>
      </c>
      <c r="B810" t="s">
        <v>7</v>
      </c>
      <c r="C810">
        <v>16.84</v>
      </c>
      <c r="D810">
        <v>3.36</v>
      </c>
      <c r="E810" s="2">
        <f>Portfolio_Data_ProductGroups[[#This Row],[Profit_EUR_m]]/Portfolio_Data_ProductGroups[[#This Row],[Revenue_EUR_m]]</f>
        <v>0.1995249406175772</v>
      </c>
    </row>
    <row r="811" spans="1:5" x14ac:dyDescent="0.3">
      <c r="A811" t="s">
        <v>817</v>
      </c>
      <c r="B811" t="s">
        <v>5</v>
      </c>
      <c r="C811">
        <v>8.81</v>
      </c>
      <c r="D811">
        <v>1.77</v>
      </c>
      <c r="E811" s="2">
        <f>Portfolio_Data_ProductGroups[[#This Row],[Profit_EUR_m]]/Portfolio_Data_ProductGroups[[#This Row],[Revenue_EUR_m]]</f>
        <v>0.20090805902383654</v>
      </c>
    </row>
    <row r="812" spans="1:5" x14ac:dyDescent="0.3">
      <c r="A812" t="s">
        <v>818</v>
      </c>
      <c r="B812" t="s">
        <v>7</v>
      </c>
      <c r="C812">
        <v>4.05</v>
      </c>
      <c r="D812">
        <v>1.08</v>
      </c>
      <c r="E812" s="2">
        <f>Portfolio_Data_ProductGroups[[#This Row],[Profit_EUR_m]]/Portfolio_Data_ProductGroups[[#This Row],[Revenue_EUR_m]]</f>
        <v>0.26666666666666672</v>
      </c>
    </row>
    <row r="813" spans="1:5" x14ac:dyDescent="0.3">
      <c r="A813" t="s">
        <v>819</v>
      </c>
      <c r="B813" t="s">
        <v>9</v>
      </c>
      <c r="C813">
        <v>24.69</v>
      </c>
      <c r="D813">
        <v>6.89</v>
      </c>
      <c r="E813" s="2">
        <f>Portfolio_Data_ProductGroups[[#This Row],[Profit_EUR_m]]/Portfolio_Data_ProductGroups[[#This Row],[Revenue_EUR_m]]</f>
        <v>0.27906034831915755</v>
      </c>
    </row>
    <row r="814" spans="1:5" x14ac:dyDescent="0.3">
      <c r="A814" t="s">
        <v>820</v>
      </c>
      <c r="B814" t="s">
        <v>5</v>
      </c>
      <c r="C814">
        <v>29.06</v>
      </c>
      <c r="D814">
        <v>7.56</v>
      </c>
      <c r="E814" s="2">
        <f>Portfolio_Data_ProductGroups[[#This Row],[Profit_EUR_m]]/Portfolio_Data_ProductGroups[[#This Row],[Revenue_EUR_m]]</f>
        <v>0.26015141087405369</v>
      </c>
    </row>
    <row r="815" spans="1:5" x14ac:dyDescent="0.3">
      <c r="A815" t="s">
        <v>821</v>
      </c>
      <c r="B815" t="s">
        <v>5</v>
      </c>
      <c r="C815">
        <v>20</v>
      </c>
      <c r="D815">
        <v>7.18</v>
      </c>
      <c r="E815" s="2">
        <f>Portfolio_Data_ProductGroups[[#This Row],[Profit_EUR_m]]/Portfolio_Data_ProductGroups[[#This Row],[Revenue_EUR_m]]</f>
        <v>0.35899999999999999</v>
      </c>
    </row>
    <row r="816" spans="1:5" x14ac:dyDescent="0.3">
      <c r="A816" t="s">
        <v>822</v>
      </c>
      <c r="B816" t="s">
        <v>7</v>
      </c>
      <c r="C816">
        <v>10.28</v>
      </c>
      <c r="D816">
        <v>2.61</v>
      </c>
      <c r="E816" s="2">
        <f>Portfolio_Data_ProductGroups[[#This Row],[Profit_EUR_m]]/Portfolio_Data_ProductGroups[[#This Row],[Revenue_EUR_m]]</f>
        <v>0.25389105058365757</v>
      </c>
    </row>
    <row r="817" spans="1:5" x14ac:dyDescent="0.3">
      <c r="A817" t="s">
        <v>823</v>
      </c>
      <c r="B817" t="s">
        <v>5</v>
      </c>
      <c r="C817">
        <v>15.49</v>
      </c>
      <c r="D817">
        <v>4.72</v>
      </c>
      <c r="E817" s="2">
        <f>Portfolio_Data_ProductGroups[[#This Row],[Profit_EUR_m]]/Portfolio_Data_ProductGroups[[#This Row],[Revenue_EUR_m]]</f>
        <v>0.30471271788250481</v>
      </c>
    </row>
    <row r="818" spans="1:5" x14ac:dyDescent="0.3">
      <c r="A818" t="s">
        <v>824</v>
      </c>
      <c r="B818" t="s">
        <v>5</v>
      </c>
      <c r="C818">
        <v>12.99</v>
      </c>
      <c r="D818">
        <v>3.52</v>
      </c>
      <c r="E818" s="2">
        <f>Portfolio_Data_ProductGroups[[#This Row],[Profit_EUR_m]]/Portfolio_Data_ProductGroups[[#This Row],[Revenue_EUR_m]]</f>
        <v>0.27097767513471899</v>
      </c>
    </row>
    <row r="819" spans="1:5" x14ac:dyDescent="0.3">
      <c r="A819" t="s">
        <v>825</v>
      </c>
      <c r="B819" t="s">
        <v>5</v>
      </c>
      <c r="C819">
        <v>4.9000000000000004</v>
      </c>
      <c r="D819">
        <v>1.39</v>
      </c>
      <c r="E819" s="2">
        <f>Portfolio_Data_ProductGroups[[#This Row],[Profit_EUR_m]]/Portfolio_Data_ProductGroups[[#This Row],[Revenue_EUR_m]]</f>
        <v>0.28367346938775506</v>
      </c>
    </row>
    <row r="820" spans="1:5" x14ac:dyDescent="0.3">
      <c r="A820" t="s">
        <v>826</v>
      </c>
      <c r="B820" t="s">
        <v>9</v>
      </c>
      <c r="C820">
        <v>7.14</v>
      </c>
      <c r="D820">
        <v>1.7</v>
      </c>
      <c r="E820" s="2">
        <f>Portfolio_Data_ProductGroups[[#This Row],[Profit_EUR_m]]/Portfolio_Data_ProductGroups[[#This Row],[Revenue_EUR_m]]</f>
        <v>0.23809523809523811</v>
      </c>
    </row>
    <row r="821" spans="1:5" x14ac:dyDescent="0.3">
      <c r="A821" t="s">
        <v>827</v>
      </c>
      <c r="B821" t="s">
        <v>5</v>
      </c>
      <c r="C821">
        <v>15.14</v>
      </c>
      <c r="D821">
        <v>4.84</v>
      </c>
      <c r="E821" s="2">
        <f>Portfolio_Data_ProductGroups[[#This Row],[Profit_EUR_m]]/Portfolio_Data_ProductGroups[[#This Row],[Revenue_EUR_m]]</f>
        <v>0.31968295904887711</v>
      </c>
    </row>
    <row r="822" spans="1:5" x14ac:dyDescent="0.3">
      <c r="A822" t="s">
        <v>828</v>
      </c>
      <c r="B822" t="s">
        <v>5</v>
      </c>
      <c r="C822">
        <v>18.149999999999999</v>
      </c>
      <c r="D822">
        <v>3.85</v>
      </c>
      <c r="E822" s="2">
        <f>Portfolio_Data_ProductGroups[[#This Row],[Profit_EUR_m]]/Portfolio_Data_ProductGroups[[#This Row],[Revenue_EUR_m]]</f>
        <v>0.21212121212121215</v>
      </c>
    </row>
    <row r="823" spans="1:5" x14ac:dyDescent="0.3">
      <c r="A823" t="s">
        <v>829</v>
      </c>
      <c r="B823" t="s">
        <v>7</v>
      </c>
      <c r="C823">
        <v>14.03</v>
      </c>
      <c r="D823">
        <v>3.72</v>
      </c>
      <c r="E823" s="2">
        <f>Portfolio_Data_ProductGroups[[#This Row],[Profit_EUR_m]]/Portfolio_Data_ProductGroups[[#This Row],[Revenue_EUR_m]]</f>
        <v>0.26514611546685674</v>
      </c>
    </row>
    <row r="824" spans="1:5" x14ac:dyDescent="0.3">
      <c r="A824" t="s">
        <v>830</v>
      </c>
      <c r="B824" t="s">
        <v>7</v>
      </c>
      <c r="C824">
        <v>4.1399999999999997</v>
      </c>
      <c r="D824">
        <v>1.21</v>
      </c>
      <c r="E824" s="2">
        <f>Portfolio_Data_ProductGroups[[#This Row],[Profit_EUR_m]]/Portfolio_Data_ProductGroups[[#This Row],[Revenue_EUR_m]]</f>
        <v>0.2922705314009662</v>
      </c>
    </row>
    <row r="825" spans="1:5" x14ac:dyDescent="0.3">
      <c r="A825" t="s">
        <v>831</v>
      </c>
      <c r="B825" t="s">
        <v>5</v>
      </c>
      <c r="C825">
        <v>38.82</v>
      </c>
      <c r="D825">
        <v>9.9499999999999993</v>
      </c>
      <c r="E825" s="2">
        <f>Portfolio_Data_ProductGroups[[#This Row],[Profit_EUR_m]]/Portfolio_Data_ProductGroups[[#This Row],[Revenue_EUR_m]]</f>
        <v>0.25631117980422463</v>
      </c>
    </row>
    <row r="826" spans="1:5" x14ac:dyDescent="0.3">
      <c r="A826" t="s">
        <v>832</v>
      </c>
      <c r="B826" t="s">
        <v>9</v>
      </c>
      <c r="C826">
        <v>6.94</v>
      </c>
      <c r="D826">
        <v>0.83</v>
      </c>
      <c r="E826" s="2">
        <f>Portfolio_Data_ProductGroups[[#This Row],[Profit_EUR_m]]/Portfolio_Data_ProductGroups[[#This Row],[Revenue_EUR_m]]</f>
        <v>0.1195965417867435</v>
      </c>
    </row>
    <row r="827" spans="1:5" x14ac:dyDescent="0.3">
      <c r="A827" t="s">
        <v>833</v>
      </c>
      <c r="B827" t="s">
        <v>13</v>
      </c>
      <c r="C827">
        <v>5.73</v>
      </c>
      <c r="D827">
        <v>2.33</v>
      </c>
      <c r="E827" s="2">
        <f>Portfolio_Data_ProductGroups[[#This Row],[Profit_EUR_m]]/Portfolio_Data_ProductGroups[[#This Row],[Revenue_EUR_m]]</f>
        <v>0.40663176265270506</v>
      </c>
    </row>
    <row r="828" spans="1:5" x14ac:dyDescent="0.3">
      <c r="A828" t="s">
        <v>834</v>
      </c>
      <c r="B828" t="s">
        <v>13</v>
      </c>
      <c r="C828">
        <v>11.74</v>
      </c>
      <c r="D828">
        <v>5.4</v>
      </c>
      <c r="E828" s="2">
        <f>Portfolio_Data_ProductGroups[[#This Row],[Profit_EUR_m]]/Portfolio_Data_ProductGroups[[#This Row],[Revenue_EUR_m]]</f>
        <v>0.45996592844974449</v>
      </c>
    </row>
    <row r="829" spans="1:5" x14ac:dyDescent="0.3">
      <c r="A829" t="s">
        <v>835</v>
      </c>
      <c r="B829" t="s">
        <v>5</v>
      </c>
      <c r="C829">
        <v>12.56</v>
      </c>
      <c r="D829">
        <v>3.83</v>
      </c>
      <c r="E829" s="2">
        <f>Portfolio_Data_ProductGroups[[#This Row],[Profit_EUR_m]]/Portfolio_Data_ProductGroups[[#This Row],[Revenue_EUR_m]]</f>
        <v>0.30493630573248409</v>
      </c>
    </row>
    <row r="830" spans="1:5" x14ac:dyDescent="0.3">
      <c r="A830" t="s">
        <v>836</v>
      </c>
      <c r="B830" t="s">
        <v>9</v>
      </c>
      <c r="C830">
        <v>25.34</v>
      </c>
      <c r="D830">
        <v>7.38</v>
      </c>
      <c r="E830" s="2">
        <f>Portfolio_Data_ProductGroups[[#This Row],[Profit_EUR_m]]/Portfolio_Data_ProductGroups[[#This Row],[Revenue_EUR_m]]</f>
        <v>0.29123914759273872</v>
      </c>
    </row>
    <row r="831" spans="1:5" x14ac:dyDescent="0.3">
      <c r="A831" t="s">
        <v>837</v>
      </c>
      <c r="B831" t="s">
        <v>9</v>
      </c>
      <c r="C831">
        <v>36.729999999999997</v>
      </c>
      <c r="D831">
        <v>6.28</v>
      </c>
      <c r="E831" s="2">
        <f>Portfolio_Data_ProductGroups[[#This Row],[Profit_EUR_m]]/Portfolio_Data_ProductGroups[[#This Row],[Revenue_EUR_m]]</f>
        <v>0.17097740266811873</v>
      </c>
    </row>
    <row r="832" spans="1:5" x14ac:dyDescent="0.3">
      <c r="A832" t="s">
        <v>838</v>
      </c>
      <c r="B832" t="s">
        <v>9</v>
      </c>
      <c r="C832">
        <v>10.19</v>
      </c>
      <c r="D832">
        <v>1.38</v>
      </c>
      <c r="E832" s="2">
        <f>Portfolio_Data_ProductGroups[[#This Row],[Profit_EUR_m]]/Portfolio_Data_ProductGroups[[#This Row],[Revenue_EUR_m]]</f>
        <v>0.13542688910696762</v>
      </c>
    </row>
    <row r="833" spans="1:5" x14ac:dyDescent="0.3">
      <c r="A833" t="s">
        <v>839</v>
      </c>
      <c r="B833" t="s">
        <v>7</v>
      </c>
      <c r="C833">
        <v>11.98</v>
      </c>
      <c r="D833">
        <v>3.11</v>
      </c>
      <c r="E833" s="2">
        <f>Portfolio_Data_ProductGroups[[#This Row],[Profit_EUR_m]]/Portfolio_Data_ProductGroups[[#This Row],[Revenue_EUR_m]]</f>
        <v>0.25959933222036724</v>
      </c>
    </row>
    <row r="834" spans="1:5" x14ac:dyDescent="0.3">
      <c r="A834" t="s">
        <v>840</v>
      </c>
      <c r="B834" t="s">
        <v>7</v>
      </c>
      <c r="C834">
        <v>6.21</v>
      </c>
      <c r="D834">
        <v>2.38</v>
      </c>
      <c r="E834" s="2">
        <f>Portfolio_Data_ProductGroups[[#This Row],[Profit_EUR_m]]/Portfolio_Data_ProductGroups[[#This Row],[Revenue_EUR_m]]</f>
        <v>0.38325281803542671</v>
      </c>
    </row>
    <row r="835" spans="1:5" x14ac:dyDescent="0.3">
      <c r="A835" t="s">
        <v>841</v>
      </c>
      <c r="B835" t="s">
        <v>5</v>
      </c>
      <c r="C835">
        <v>18.489999999999998</v>
      </c>
      <c r="D835">
        <v>4.12</v>
      </c>
      <c r="E835" s="2">
        <f>Portfolio_Data_ProductGroups[[#This Row],[Profit_EUR_m]]/Portfolio_Data_ProductGroups[[#This Row],[Revenue_EUR_m]]</f>
        <v>0.22282314764737698</v>
      </c>
    </row>
    <row r="836" spans="1:5" x14ac:dyDescent="0.3">
      <c r="A836" t="s">
        <v>842</v>
      </c>
      <c r="B836" t="s">
        <v>7</v>
      </c>
      <c r="C836">
        <v>18.73</v>
      </c>
      <c r="D836">
        <v>4.99</v>
      </c>
      <c r="E836" s="2">
        <f>Portfolio_Data_ProductGroups[[#This Row],[Profit_EUR_m]]/Portfolio_Data_ProductGroups[[#This Row],[Revenue_EUR_m]]</f>
        <v>0.26641751201281366</v>
      </c>
    </row>
    <row r="837" spans="1:5" x14ac:dyDescent="0.3">
      <c r="A837" t="s">
        <v>843</v>
      </c>
      <c r="B837" t="s">
        <v>7</v>
      </c>
      <c r="C837">
        <v>41.25</v>
      </c>
      <c r="D837">
        <v>10.97</v>
      </c>
      <c r="E837" s="2">
        <f>Portfolio_Data_ProductGroups[[#This Row],[Profit_EUR_m]]/Portfolio_Data_ProductGroups[[#This Row],[Revenue_EUR_m]]</f>
        <v>0.26593939393939398</v>
      </c>
    </row>
    <row r="838" spans="1:5" x14ac:dyDescent="0.3">
      <c r="A838" t="s">
        <v>844</v>
      </c>
      <c r="B838" t="s">
        <v>5</v>
      </c>
      <c r="C838">
        <v>16.579999999999998</v>
      </c>
      <c r="D838">
        <v>4.82</v>
      </c>
      <c r="E838" s="2">
        <f>Portfolio_Data_ProductGroups[[#This Row],[Profit_EUR_m]]/Portfolio_Data_ProductGroups[[#This Row],[Revenue_EUR_m]]</f>
        <v>0.29071170084439085</v>
      </c>
    </row>
    <row r="839" spans="1:5" x14ac:dyDescent="0.3">
      <c r="A839" t="s">
        <v>845</v>
      </c>
      <c r="B839" t="s">
        <v>5</v>
      </c>
      <c r="C839">
        <v>20.04</v>
      </c>
      <c r="D839">
        <v>5.43</v>
      </c>
      <c r="E839" s="2">
        <f>Portfolio_Data_ProductGroups[[#This Row],[Profit_EUR_m]]/Portfolio_Data_ProductGroups[[#This Row],[Revenue_EUR_m]]</f>
        <v>0.27095808383233533</v>
      </c>
    </row>
    <row r="840" spans="1:5" x14ac:dyDescent="0.3">
      <c r="A840" t="s">
        <v>846</v>
      </c>
      <c r="B840" t="s">
        <v>13</v>
      </c>
      <c r="C840">
        <v>8.27</v>
      </c>
      <c r="D840">
        <v>3.59</v>
      </c>
      <c r="E840" s="2">
        <f>Portfolio_Data_ProductGroups[[#This Row],[Profit_EUR_m]]/Portfolio_Data_ProductGroups[[#This Row],[Revenue_EUR_m]]</f>
        <v>0.43409915356711004</v>
      </c>
    </row>
    <row r="841" spans="1:5" x14ac:dyDescent="0.3">
      <c r="A841" t="s">
        <v>847</v>
      </c>
      <c r="B841" t="s">
        <v>9</v>
      </c>
      <c r="C841">
        <v>58.91</v>
      </c>
      <c r="D841">
        <v>13.8</v>
      </c>
      <c r="E841" s="2">
        <f>Portfolio_Data_ProductGroups[[#This Row],[Profit_EUR_m]]/Portfolio_Data_ProductGroups[[#This Row],[Revenue_EUR_m]]</f>
        <v>0.23425564420302158</v>
      </c>
    </row>
    <row r="842" spans="1:5" x14ac:dyDescent="0.3">
      <c r="A842" t="s">
        <v>848</v>
      </c>
      <c r="B842" t="s">
        <v>9</v>
      </c>
      <c r="C842">
        <v>29.42</v>
      </c>
      <c r="D842">
        <v>6.31</v>
      </c>
      <c r="E842" s="2">
        <f>Portfolio_Data_ProductGroups[[#This Row],[Profit_EUR_m]]/Portfolio_Data_ProductGroups[[#This Row],[Revenue_EUR_m]]</f>
        <v>0.21447994561522771</v>
      </c>
    </row>
    <row r="843" spans="1:5" x14ac:dyDescent="0.3">
      <c r="A843" t="s">
        <v>849</v>
      </c>
      <c r="B843" t="s">
        <v>9</v>
      </c>
      <c r="C843">
        <v>39.6</v>
      </c>
      <c r="D843">
        <v>11.58</v>
      </c>
      <c r="E843" s="2">
        <f>Portfolio_Data_ProductGroups[[#This Row],[Profit_EUR_m]]/Portfolio_Data_ProductGroups[[#This Row],[Revenue_EUR_m]]</f>
        <v>0.29242424242424242</v>
      </c>
    </row>
    <row r="844" spans="1:5" x14ac:dyDescent="0.3">
      <c r="A844" t="s">
        <v>850</v>
      </c>
      <c r="B844" t="s">
        <v>13</v>
      </c>
      <c r="C844">
        <v>12.94</v>
      </c>
      <c r="D844">
        <v>3.73</v>
      </c>
      <c r="E844" s="2">
        <f>Portfolio_Data_ProductGroups[[#This Row],[Profit_EUR_m]]/Portfolio_Data_ProductGroups[[#This Row],[Revenue_EUR_m]]</f>
        <v>0.28825347758887171</v>
      </c>
    </row>
    <row r="845" spans="1:5" x14ac:dyDescent="0.3">
      <c r="A845" t="s">
        <v>851</v>
      </c>
      <c r="B845" t="s">
        <v>5</v>
      </c>
      <c r="C845">
        <v>40.61</v>
      </c>
      <c r="D845">
        <v>9.09</v>
      </c>
      <c r="E845" s="2">
        <f>Portfolio_Data_ProductGroups[[#This Row],[Profit_EUR_m]]/Portfolio_Data_ProductGroups[[#This Row],[Revenue_EUR_m]]</f>
        <v>0.22383649347451368</v>
      </c>
    </row>
    <row r="846" spans="1:5" x14ac:dyDescent="0.3">
      <c r="A846" t="s">
        <v>852</v>
      </c>
      <c r="B846" t="s">
        <v>13</v>
      </c>
      <c r="C846">
        <v>17.920000000000002</v>
      </c>
      <c r="D846">
        <v>6.99</v>
      </c>
      <c r="E846" s="2">
        <f>Portfolio_Data_ProductGroups[[#This Row],[Profit_EUR_m]]/Portfolio_Data_ProductGroups[[#This Row],[Revenue_EUR_m]]</f>
        <v>0.39006696428571425</v>
      </c>
    </row>
    <row r="847" spans="1:5" x14ac:dyDescent="0.3">
      <c r="A847" t="s">
        <v>853</v>
      </c>
      <c r="B847" t="s">
        <v>9</v>
      </c>
      <c r="C847">
        <v>7.43</v>
      </c>
      <c r="D847">
        <v>2.27</v>
      </c>
      <c r="E847" s="2">
        <f>Portfolio_Data_ProductGroups[[#This Row],[Profit_EUR_m]]/Portfolio_Data_ProductGroups[[#This Row],[Revenue_EUR_m]]</f>
        <v>0.30551816958277256</v>
      </c>
    </row>
    <row r="848" spans="1:5" x14ac:dyDescent="0.3">
      <c r="A848" t="s">
        <v>854</v>
      </c>
      <c r="B848" t="s">
        <v>9</v>
      </c>
      <c r="C848">
        <v>16.54</v>
      </c>
      <c r="D848">
        <v>2.19</v>
      </c>
      <c r="E848" s="2">
        <f>Portfolio_Data_ProductGroups[[#This Row],[Profit_EUR_m]]/Portfolio_Data_ProductGroups[[#This Row],[Revenue_EUR_m]]</f>
        <v>0.13240628778718258</v>
      </c>
    </row>
    <row r="849" spans="1:5" x14ac:dyDescent="0.3">
      <c r="A849" t="s">
        <v>855</v>
      </c>
      <c r="B849" t="s">
        <v>5</v>
      </c>
      <c r="C849">
        <v>15.11</v>
      </c>
      <c r="D849">
        <v>4.21</v>
      </c>
      <c r="E849" s="2">
        <f>Portfolio_Data_ProductGroups[[#This Row],[Profit_EUR_m]]/Portfolio_Data_ProductGroups[[#This Row],[Revenue_EUR_m]]</f>
        <v>0.27862342819324953</v>
      </c>
    </row>
    <row r="850" spans="1:5" x14ac:dyDescent="0.3">
      <c r="A850" t="s">
        <v>856</v>
      </c>
      <c r="B850" t="s">
        <v>7</v>
      </c>
      <c r="C850">
        <v>2.93</v>
      </c>
      <c r="D850">
        <v>0.83</v>
      </c>
      <c r="E850" s="2">
        <f>Portfolio_Data_ProductGroups[[#This Row],[Profit_EUR_m]]/Portfolio_Data_ProductGroups[[#This Row],[Revenue_EUR_m]]</f>
        <v>0.28327645051194539</v>
      </c>
    </row>
    <row r="851" spans="1:5" x14ac:dyDescent="0.3">
      <c r="A851" t="s">
        <v>857</v>
      </c>
      <c r="B851" t="s">
        <v>13</v>
      </c>
      <c r="C851">
        <v>11.92</v>
      </c>
      <c r="D851">
        <v>6.02</v>
      </c>
      <c r="E851" s="2">
        <f>Portfolio_Data_ProductGroups[[#This Row],[Profit_EUR_m]]/Portfolio_Data_ProductGroups[[#This Row],[Revenue_EUR_m]]</f>
        <v>0.50503355704697983</v>
      </c>
    </row>
    <row r="852" spans="1:5" x14ac:dyDescent="0.3">
      <c r="A852" t="s">
        <v>858</v>
      </c>
      <c r="B852" t="s">
        <v>5</v>
      </c>
      <c r="C852">
        <v>87.12</v>
      </c>
      <c r="D852">
        <v>19.510000000000002</v>
      </c>
      <c r="E852" s="2">
        <f>Portfolio_Data_ProductGroups[[#This Row],[Profit_EUR_m]]/Portfolio_Data_ProductGroups[[#This Row],[Revenue_EUR_m]]</f>
        <v>0.22394398530762169</v>
      </c>
    </row>
    <row r="853" spans="1:5" x14ac:dyDescent="0.3">
      <c r="A853" t="s">
        <v>859</v>
      </c>
      <c r="B853" t="s">
        <v>5</v>
      </c>
      <c r="C853">
        <v>38.36</v>
      </c>
      <c r="D853">
        <v>10.69</v>
      </c>
      <c r="E853" s="2">
        <f>Portfolio_Data_ProductGroups[[#This Row],[Profit_EUR_m]]/Portfolio_Data_ProductGroups[[#This Row],[Revenue_EUR_m]]</f>
        <v>0.27867570385818557</v>
      </c>
    </row>
    <row r="854" spans="1:5" x14ac:dyDescent="0.3">
      <c r="A854" t="s">
        <v>860</v>
      </c>
      <c r="B854" t="s">
        <v>13</v>
      </c>
      <c r="C854">
        <v>6.74</v>
      </c>
      <c r="D854">
        <v>3.03</v>
      </c>
      <c r="E854" s="2">
        <f>Portfolio_Data_ProductGroups[[#This Row],[Profit_EUR_m]]/Portfolio_Data_ProductGroups[[#This Row],[Revenue_EUR_m]]</f>
        <v>0.44955489614243321</v>
      </c>
    </row>
    <row r="855" spans="1:5" x14ac:dyDescent="0.3">
      <c r="A855" t="s">
        <v>861</v>
      </c>
      <c r="B855" t="s">
        <v>5</v>
      </c>
      <c r="C855">
        <v>15.15</v>
      </c>
      <c r="D855">
        <v>4.05</v>
      </c>
      <c r="E855" s="2">
        <f>Portfolio_Data_ProductGroups[[#This Row],[Profit_EUR_m]]/Portfolio_Data_ProductGroups[[#This Row],[Revenue_EUR_m]]</f>
        <v>0.26732673267326729</v>
      </c>
    </row>
    <row r="856" spans="1:5" x14ac:dyDescent="0.3">
      <c r="A856" t="s">
        <v>862</v>
      </c>
      <c r="B856" t="s">
        <v>7</v>
      </c>
      <c r="C856">
        <v>8.1300000000000008</v>
      </c>
      <c r="D856">
        <v>3.09</v>
      </c>
      <c r="E856" s="2">
        <f>Portfolio_Data_ProductGroups[[#This Row],[Profit_EUR_m]]/Portfolio_Data_ProductGroups[[#This Row],[Revenue_EUR_m]]</f>
        <v>0.38007380073800734</v>
      </c>
    </row>
    <row r="857" spans="1:5" x14ac:dyDescent="0.3">
      <c r="A857" t="s">
        <v>863</v>
      </c>
      <c r="B857" t="s">
        <v>7</v>
      </c>
      <c r="C857">
        <v>16.53</v>
      </c>
      <c r="D857">
        <v>3.87</v>
      </c>
      <c r="E857" s="2">
        <f>Portfolio_Data_ProductGroups[[#This Row],[Profit_EUR_m]]/Portfolio_Data_ProductGroups[[#This Row],[Revenue_EUR_m]]</f>
        <v>0.23411978221415608</v>
      </c>
    </row>
    <row r="858" spans="1:5" x14ac:dyDescent="0.3">
      <c r="A858" t="s">
        <v>864</v>
      </c>
      <c r="B858" t="s">
        <v>9</v>
      </c>
      <c r="C858">
        <v>12.91</v>
      </c>
      <c r="D858">
        <v>3.65</v>
      </c>
      <c r="E858" s="2">
        <f>Portfolio_Data_ProductGroups[[#This Row],[Profit_EUR_m]]/Portfolio_Data_ProductGroups[[#This Row],[Revenue_EUR_m]]</f>
        <v>0.28272656855151046</v>
      </c>
    </row>
    <row r="859" spans="1:5" x14ac:dyDescent="0.3">
      <c r="A859" t="s">
        <v>865</v>
      </c>
      <c r="B859" t="s">
        <v>5</v>
      </c>
      <c r="C859">
        <v>25.5</v>
      </c>
      <c r="D859">
        <v>3.67</v>
      </c>
      <c r="E859" s="2">
        <f>Portfolio_Data_ProductGroups[[#This Row],[Profit_EUR_m]]/Portfolio_Data_ProductGroups[[#This Row],[Revenue_EUR_m]]</f>
        <v>0.14392156862745098</v>
      </c>
    </row>
    <row r="860" spans="1:5" x14ac:dyDescent="0.3">
      <c r="A860" t="s">
        <v>866</v>
      </c>
      <c r="B860" t="s">
        <v>5</v>
      </c>
      <c r="C860">
        <v>26.11</v>
      </c>
      <c r="D860">
        <v>7.71</v>
      </c>
      <c r="E860" s="2">
        <f>Portfolio_Data_ProductGroups[[#This Row],[Profit_EUR_m]]/Portfolio_Data_ProductGroups[[#This Row],[Revenue_EUR_m]]</f>
        <v>0.29528916124090387</v>
      </c>
    </row>
    <row r="861" spans="1:5" x14ac:dyDescent="0.3">
      <c r="A861" t="s">
        <v>867</v>
      </c>
      <c r="B861" t="s">
        <v>5</v>
      </c>
      <c r="C861">
        <v>22.82</v>
      </c>
      <c r="D861">
        <v>5.75</v>
      </c>
      <c r="E861" s="2">
        <f>Portfolio_Data_ProductGroups[[#This Row],[Profit_EUR_m]]/Portfolio_Data_ProductGroups[[#This Row],[Revenue_EUR_m]]</f>
        <v>0.25197195442594217</v>
      </c>
    </row>
    <row r="862" spans="1:5" x14ac:dyDescent="0.3">
      <c r="A862" t="s">
        <v>868</v>
      </c>
      <c r="B862" t="s">
        <v>7</v>
      </c>
      <c r="C862">
        <v>43.68</v>
      </c>
      <c r="D862">
        <v>10.33</v>
      </c>
      <c r="E862" s="2">
        <f>Portfolio_Data_ProductGroups[[#This Row],[Profit_EUR_m]]/Portfolio_Data_ProductGroups[[#This Row],[Revenue_EUR_m]]</f>
        <v>0.23649267399267399</v>
      </c>
    </row>
    <row r="863" spans="1:5" x14ac:dyDescent="0.3">
      <c r="A863" t="s">
        <v>869</v>
      </c>
      <c r="B863" t="s">
        <v>7</v>
      </c>
      <c r="C863">
        <v>6.56</v>
      </c>
      <c r="D863">
        <v>2.0499999999999998</v>
      </c>
      <c r="E863" s="2">
        <f>Portfolio_Data_ProductGroups[[#This Row],[Profit_EUR_m]]/Portfolio_Data_ProductGroups[[#This Row],[Revenue_EUR_m]]</f>
        <v>0.3125</v>
      </c>
    </row>
    <row r="864" spans="1:5" x14ac:dyDescent="0.3">
      <c r="A864" t="s">
        <v>870</v>
      </c>
      <c r="B864" t="s">
        <v>5</v>
      </c>
      <c r="C864">
        <v>12.72</v>
      </c>
      <c r="D864">
        <v>2.02</v>
      </c>
      <c r="E864" s="2">
        <f>Portfolio_Data_ProductGroups[[#This Row],[Profit_EUR_m]]/Portfolio_Data_ProductGroups[[#This Row],[Revenue_EUR_m]]</f>
        <v>0.15880503144654087</v>
      </c>
    </row>
    <row r="865" spans="1:5" x14ac:dyDescent="0.3">
      <c r="A865" t="s">
        <v>871</v>
      </c>
      <c r="B865" t="s">
        <v>7</v>
      </c>
      <c r="C865">
        <v>12</v>
      </c>
      <c r="D865">
        <v>3.13</v>
      </c>
      <c r="E865" s="2">
        <f>Portfolio_Data_ProductGroups[[#This Row],[Profit_EUR_m]]/Portfolio_Data_ProductGroups[[#This Row],[Revenue_EUR_m]]</f>
        <v>0.26083333333333331</v>
      </c>
    </row>
    <row r="866" spans="1:5" x14ac:dyDescent="0.3">
      <c r="A866" t="s">
        <v>872</v>
      </c>
      <c r="B866" t="s">
        <v>9</v>
      </c>
      <c r="C866">
        <v>4.21</v>
      </c>
      <c r="D866">
        <v>0.83</v>
      </c>
      <c r="E866" s="2">
        <f>Portfolio_Data_ProductGroups[[#This Row],[Profit_EUR_m]]/Portfolio_Data_ProductGroups[[#This Row],[Revenue_EUR_m]]</f>
        <v>0.19714964370546317</v>
      </c>
    </row>
    <row r="867" spans="1:5" x14ac:dyDescent="0.3">
      <c r="A867" t="s">
        <v>873</v>
      </c>
      <c r="B867" t="s">
        <v>13</v>
      </c>
      <c r="C867">
        <v>3.5</v>
      </c>
      <c r="D867">
        <v>1.86</v>
      </c>
      <c r="E867" s="2">
        <f>Portfolio_Data_ProductGroups[[#This Row],[Profit_EUR_m]]/Portfolio_Data_ProductGroups[[#This Row],[Revenue_EUR_m]]</f>
        <v>0.53142857142857147</v>
      </c>
    </row>
    <row r="868" spans="1:5" x14ac:dyDescent="0.3">
      <c r="A868" t="s">
        <v>874</v>
      </c>
      <c r="B868" t="s">
        <v>9</v>
      </c>
      <c r="C868">
        <v>32.799999999999997</v>
      </c>
      <c r="D868">
        <v>8.0500000000000007</v>
      </c>
      <c r="E868" s="2">
        <f>Portfolio_Data_ProductGroups[[#This Row],[Profit_EUR_m]]/Portfolio_Data_ProductGroups[[#This Row],[Revenue_EUR_m]]</f>
        <v>0.24542682926829273</v>
      </c>
    </row>
    <row r="869" spans="1:5" x14ac:dyDescent="0.3">
      <c r="A869" t="s">
        <v>875</v>
      </c>
      <c r="B869" t="s">
        <v>13</v>
      </c>
      <c r="C869">
        <v>22.21</v>
      </c>
      <c r="D869">
        <v>9.18</v>
      </c>
      <c r="E869" s="2">
        <f>Portfolio_Data_ProductGroups[[#This Row],[Profit_EUR_m]]/Portfolio_Data_ProductGroups[[#This Row],[Revenue_EUR_m]]</f>
        <v>0.41332733003151728</v>
      </c>
    </row>
    <row r="870" spans="1:5" x14ac:dyDescent="0.3">
      <c r="A870" t="s">
        <v>876</v>
      </c>
      <c r="B870" t="s">
        <v>13</v>
      </c>
      <c r="C870">
        <v>25.39</v>
      </c>
      <c r="D870">
        <v>11.94</v>
      </c>
      <c r="E870" s="2">
        <f>Portfolio_Data_ProductGroups[[#This Row],[Profit_EUR_m]]/Portfolio_Data_ProductGroups[[#This Row],[Revenue_EUR_m]]</f>
        <v>0.47026388341866876</v>
      </c>
    </row>
    <row r="871" spans="1:5" x14ac:dyDescent="0.3">
      <c r="A871" t="s">
        <v>877</v>
      </c>
      <c r="B871" t="s">
        <v>9</v>
      </c>
      <c r="C871">
        <v>6.07</v>
      </c>
      <c r="D871">
        <v>1.1499999999999999</v>
      </c>
      <c r="E871" s="2">
        <f>Portfolio_Data_ProductGroups[[#This Row],[Profit_EUR_m]]/Portfolio_Data_ProductGroups[[#This Row],[Revenue_EUR_m]]</f>
        <v>0.18945634266886324</v>
      </c>
    </row>
    <row r="872" spans="1:5" x14ac:dyDescent="0.3">
      <c r="A872" t="s">
        <v>878</v>
      </c>
      <c r="B872" t="s">
        <v>5</v>
      </c>
      <c r="C872">
        <v>9.1</v>
      </c>
      <c r="D872">
        <v>1.65</v>
      </c>
      <c r="E872" s="2">
        <f>Portfolio_Data_ProductGroups[[#This Row],[Profit_EUR_m]]/Portfolio_Data_ProductGroups[[#This Row],[Revenue_EUR_m]]</f>
        <v>0.18131868131868131</v>
      </c>
    </row>
    <row r="873" spans="1:5" x14ac:dyDescent="0.3">
      <c r="A873" t="s">
        <v>879</v>
      </c>
      <c r="B873" t="s">
        <v>9</v>
      </c>
      <c r="C873">
        <v>43.52</v>
      </c>
      <c r="D873">
        <v>12.14</v>
      </c>
      <c r="E873" s="2">
        <f>Portfolio_Data_ProductGroups[[#This Row],[Profit_EUR_m]]/Portfolio_Data_ProductGroups[[#This Row],[Revenue_EUR_m]]</f>
        <v>0.27895220588235292</v>
      </c>
    </row>
    <row r="874" spans="1:5" x14ac:dyDescent="0.3">
      <c r="A874" t="s">
        <v>880</v>
      </c>
      <c r="B874" t="s">
        <v>7</v>
      </c>
      <c r="C874">
        <v>18.57</v>
      </c>
      <c r="D874">
        <v>7.74</v>
      </c>
      <c r="E874" s="2">
        <f>Portfolio_Data_ProductGroups[[#This Row],[Profit_EUR_m]]/Portfolio_Data_ProductGroups[[#This Row],[Revenue_EUR_m]]</f>
        <v>0.41680129240710823</v>
      </c>
    </row>
    <row r="875" spans="1:5" x14ac:dyDescent="0.3">
      <c r="A875" t="s">
        <v>881</v>
      </c>
      <c r="B875" t="s">
        <v>7</v>
      </c>
      <c r="C875">
        <v>23.78</v>
      </c>
      <c r="D875">
        <v>7.22</v>
      </c>
      <c r="E875" s="2">
        <f>Portfolio_Data_ProductGroups[[#This Row],[Profit_EUR_m]]/Portfolio_Data_ProductGroups[[#This Row],[Revenue_EUR_m]]</f>
        <v>0.30361648444070644</v>
      </c>
    </row>
    <row r="876" spans="1:5" x14ac:dyDescent="0.3">
      <c r="A876" t="s">
        <v>882</v>
      </c>
      <c r="B876" t="s">
        <v>5</v>
      </c>
      <c r="C876">
        <v>16</v>
      </c>
      <c r="D876">
        <v>4.3099999999999996</v>
      </c>
      <c r="E876" s="2">
        <f>Portfolio_Data_ProductGroups[[#This Row],[Profit_EUR_m]]/Portfolio_Data_ProductGroups[[#This Row],[Revenue_EUR_m]]</f>
        <v>0.26937499999999998</v>
      </c>
    </row>
    <row r="877" spans="1:5" x14ac:dyDescent="0.3">
      <c r="A877" t="s">
        <v>883</v>
      </c>
      <c r="B877" t="s">
        <v>5</v>
      </c>
      <c r="C877">
        <v>12.9</v>
      </c>
      <c r="D877">
        <v>3.67</v>
      </c>
      <c r="E877" s="2">
        <f>Portfolio_Data_ProductGroups[[#This Row],[Profit_EUR_m]]/Portfolio_Data_ProductGroups[[#This Row],[Revenue_EUR_m]]</f>
        <v>0.28449612403100771</v>
      </c>
    </row>
    <row r="878" spans="1:5" x14ac:dyDescent="0.3">
      <c r="A878" t="s">
        <v>884</v>
      </c>
      <c r="B878" t="s">
        <v>7</v>
      </c>
      <c r="C878">
        <v>5.23</v>
      </c>
      <c r="D878">
        <v>1.1200000000000001</v>
      </c>
      <c r="E878" s="2">
        <f>Portfolio_Data_ProductGroups[[#This Row],[Profit_EUR_m]]/Portfolio_Data_ProductGroups[[#This Row],[Revenue_EUR_m]]</f>
        <v>0.21414913957934992</v>
      </c>
    </row>
    <row r="879" spans="1:5" x14ac:dyDescent="0.3">
      <c r="A879" t="s">
        <v>885</v>
      </c>
      <c r="B879" t="s">
        <v>13</v>
      </c>
      <c r="C879">
        <v>11.88</v>
      </c>
      <c r="D879">
        <v>5.51</v>
      </c>
      <c r="E879" s="2">
        <f>Portfolio_Data_ProductGroups[[#This Row],[Profit_EUR_m]]/Portfolio_Data_ProductGroups[[#This Row],[Revenue_EUR_m]]</f>
        <v>0.46380471380471378</v>
      </c>
    </row>
    <row r="880" spans="1:5" x14ac:dyDescent="0.3">
      <c r="A880" t="s">
        <v>886</v>
      </c>
      <c r="B880" t="s">
        <v>7</v>
      </c>
      <c r="C880">
        <v>21.48</v>
      </c>
      <c r="D880">
        <v>6</v>
      </c>
      <c r="E880" s="2">
        <f>Portfolio_Data_ProductGroups[[#This Row],[Profit_EUR_m]]/Portfolio_Data_ProductGroups[[#This Row],[Revenue_EUR_m]]</f>
        <v>0.27932960893854747</v>
      </c>
    </row>
    <row r="881" spans="1:5" x14ac:dyDescent="0.3">
      <c r="A881" t="s">
        <v>887</v>
      </c>
      <c r="B881" t="s">
        <v>7</v>
      </c>
      <c r="C881">
        <v>3.71</v>
      </c>
      <c r="D881">
        <v>1.17</v>
      </c>
      <c r="E881" s="2">
        <f>Portfolio_Data_ProductGroups[[#This Row],[Profit_EUR_m]]/Portfolio_Data_ProductGroups[[#This Row],[Revenue_EUR_m]]</f>
        <v>0.31536388140161725</v>
      </c>
    </row>
    <row r="882" spans="1:5" x14ac:dyDescent="0.3">
      <c r="A882" t="s">
        <v>888</v>
      </c>
      <c r="B882" t="s">
        <v>9</v>
      </c>
      <c r="C882">
        <v>21.21</v>
      </c>
      <c r="D882">
        <v>2.98</v>
      </c>
      <c r="E882" s="2">
        <f>Portfolio_Data_ProductGroups[[#This Row],[Profit_EUR_m]]/Portfolio_Data_ProductGroups[[#This Row],[Revenue_EUR_m]]</f>
        <v>0.1404997642621405</v>
      </c>
    </row>
    <row r="883" spans="1:5" x14ac:dyDescent="0.3">
      <c r="A883" t="s">
        <v>889</v>
      </c>
      <c r="B883" t="s">
        <v>9</v>
      </c>
      <c r="C883">
        <v>13.05</v>
      </c>
      <c r="D883">
        <v>1.97</v>
      </c>
      <c r="E883" s="2">
        <f>Portfolio_Data_ProductGroups[[#This Row],[Profit_EUR_m]]/Portfolio_Data_ProductGroups[[#This Row],[Revenue_EUR_m]]</f>
        <v>0.15095785440613027</v>
      </c>
    </row>
    <row r="884" spans="1:5" x14ac:dyDescent="0.3">
      <c r="A884" t="s">
        <v>890</v>
      </c>
      <c r="B884" t="s">
        <v>5</v>
      </c>
      <c r="C884">
        <v>19.600000000000001</v>
      </c>
      <c r="D884">
        <v>4.9400000000000004</v>
      </c>
      <c r="E884" s="2">
        <f>Portfolio_Data_ProductGroups[[#This Row],[Profit_EUR_m]]/Portfolio_Data_ProductGroups[[#This Row],[Revenue_EUR_m]]</f>
        <v>0.25204081632653064</v>
      </c>
    </row>
    <row r="885" spans="1:5" x14ac:dyDescent="0.3">
      <c r="A885" t="s">
        <v>891</v>
      </c>
      <c r="B885" t="s">
        <v>7</v>
      </c>
      <c r="C885">
        <v>31.65</v>
      </c>
      <c r="D885">
        <v>11.47</v>
      </c>
      <c r="E885" s="2">
        <f>Portfolio_Data_ProductGroups[[#This Row],[Profit_EUR_m]]/Portfolio_Data_ProductGroups[[#This Row],[Revenue_EUR_m]]</f>
        <v>0.36240126382306481</v>
      </c>
    </row>
    <row r="886" spans="1:5" x14ac:dyDescent="0.3">
      <c r="A886" t="s">
        <v>892</v>
      </c>
      <c r="B886" t="s">
        <v>9</v>
      </c>
      <c r="C886">
        <v>25.76</v>
      </c>
      <c r="D886">
        <v>4.8499999999999996</v>
      </c>
      <c r="E886" s="2">
        <f>Portfolio_Data_ProductGroups[[#This Row],[Profit_EUR_m]]/Portfolio_Data_ProductGroups[[#This Row],[Revenue_EUR_m]]</f>
        <v>0.18827639751552794</v>
      </c>
    </row>
    <row r="887" spans="1:5" x14ac:dyDescent="0.3">
      <c r="A887" t="s">
        <v>893</v>
      </c>
      <c r="B887" t="s">
        <v>5</v>
      </c>
      <c r="C887">
        <v>5.46</v>
      </c>
      <c r="D887">
        <v>1.45</v>
      </c>
      <c r="E887" s="2">
        <f>Portfolio_Data_ProductGroups[[#This Row],[Profit_EUR_m]]/Portfolio_Data_ProductGroups[[#This Row],[Revenue_EUR_m]]</f>
        <v>0.26556776556776557</v>
      </c>
    </row>
    <row r="888" spans="1:5" x14ac:dyDescent="0.3">
      <c r="A888" t="s">
        <v>894</v>
      </c>
      <c r="B888" t="s">
        <v>5</v>
      </c>
      <c r="C888">
        <v>21.62</v>
      </c>
      <c r="D888">
        <v>5.39</v>
      </c>
      <c r="E888" s="2">
        <f>Portfolio_Data_ProductGroups[[#This Row],[Profit_EUR_m]]/Portfolio_Data_ProductGroups[[#This Row],[Revenue_EUR_m]]</f>
        <v>0.24930619796484735</v>
      </c>
    </row>
    <row r="889" spans="1:5" x14ac:dyDescent="0.3">
      <c r="A889" t="s">
        <v>895</v>
      </c>
      <c r="B889" t="s">
        <v>9</v>
      </c>
      <c r="C889">
        <v>31.39</v>
      </c>
      <c r="D889">
        <v>3.44</v>
      </c>
      <c r="E889" s="2">
        <f>Portfolio_Data_ProductGroups[[#This Row],[Profit_EUR_m]]/Portfolio_Data_ProductGroups[[#This Row],[Revenue_EUR_m]]</f>
        <v>0.1095890410958904</v>
      </c>
    </row>
    <row r="890" spans="1:5" x14ac:dyDescent="0.3">
      <c r="A890" t="s">
        <v>896</v>
      </c>
      <c r="B890" t="s">
        <v>9</v>
      </c>
      <c r="C890">
        <v>10.130000000000001</v>
      </c>
      <c r="D890">
        <v>1.41</v>
      </c>
      <c r="E890" s="2">
        <f>Portfolio_Data_ProductGroups[[#This Row],[Profit_EUR_m]]/Portfolio_Data_ProductGroups[[#This Row],[Revenue_EUR_m]]</f>
        <v>0.13919052319842051</v>
      </c>
    </row>
    <row r="891" spans="1:5" x14ac:dyDescent="0.3">
      <c r="A891" t="s">
        <v>897</v>
      </c>
      <c r="B891" t="s">
        <v>13</v>
      </c>
      <c r="C891">
        <v>5.85</v>
      </c>
      <c r="D891">
        <v>2.91</v>
      </c>
      <c r="E891" s="2">
        <f>Portfolio_Data_ProductGroups[[#This Row],[Profit_EUR_m]]/Portfolio_Data_ProductGroups[[#This Row],[Revenue_EUR_m]]</f>
        <v>0.4974358974358975</v>
      </c>
    </row>
    <row r="892" spans="1:5" x14ac:dyDescent="0.3">
      <c r="A892" t="s">
        <v>898</v>
      </c>
      <c r="B892" t="s">
        <v>5</v>
      </c>
      <c r="C892">
        <v>28.01</v>
      </c>
      <c r="D892">
        <v>6.56</v>
      </c>
      <c r="E892" s="2">
        <f>Portfolio_Data_ProductGroups[[#This Row],[Profit_EUR_m]]/Portfolio_Data_ProductGroups[[#This Row],[Revenue_EUR_m]]</f>
        <v>0.23420207068903962</v>
      </c>
    </row>
    <row r="893" spans="1:5" x14ac:dyDescent="0.3">
      <c r="A893" t="s">
        <v>899</v>
      </c>
      <c r="B893" t="s">
        <v>13</v>
      </c>
      <c r="C893">
        <v>8.0399999999999991</v>
      </c>
      <c r="D893">
        <v>3.91</v>
      </c>
      <c r="E893" s="2">
        <f>Portfolio_Data_ProductGroups[[#This Row],[Profit_EUR_m]]/Portfolio_Data_ProductGroups[[#This Row],[Revenue_EUR_m]]</f>
        <v>0.4863184079601991</v>
      </c>
    </row>
    <row r="894" spans="1:5" x14ac:dyDescent="0.3">
      <c r="A894" t="s">
        <v>900</v>
      </c>
      <c r="B894" t="s">
        <v>13</v>
      </c>
      <c r="C894">
        <v>8.86</v>
      </c>
      <c r="D894">
        <v>3.47</v>
      </c>
      <c r="E894" s="2">
        <f>Portfolio_Data_ProductGroups[[#This Row],[Profit_EUR_m]]/Portfolio_Data_ProductGroups[[#This Row],[Revenue_EUR_m]]</f>
        <v>0.3916478555304741</v>
      </c>
    </row>
    <row r="895" spans="1:5" x14ac:dyDescent="0.3">
      <c r="A895" t="s">
        <v>901</v>
      </c>
      <c r="B895" t="s">
        <v>9</v>
      </c>
      <c r="C895">
        <v>22.46</v>
      </c>
      <c r="D895">
        <v>4.8899999999999997</v>
      </c>
      <c r="E895" s="2">
        <f>Portfolio_Data_ProductGroups[[#This Row],[Profit_EUR_m]]/Portfolio_Data_ProductGroups[[#This Row],[Revenue_EUR_m]]</f>
        <v>0.21772039180765804</v>
      </c>
    </row>
    <row r="896" spans="1:5" x14ac:dyDescent="0.3">
      <c r="A896" t="s">
        <v>902</v>
      </c>
      <c r="B896" t="s">
        <v>7</v>
      </c>
      <c r="C896">
        <v>45.38</v>
      </c>
      <c r="D896">
        <v>12.33</v>
      </c>
      <c r="E896" s="2">
        <f>Portfolio_Data_ProductGroups[[#This Row],[Profit_EUR_m]]/Portfolio_Data_ProductGroups[[#This Row],[Revenue_EUR_m]]</f>
        <v>0.27170559717937415</v>
      </c>
    </row>
    <row r="897" spans="1:5" x14ac:dyDescent="0.3">
      <c r="A897" t="s">
        <v>903</v>
      </c>
      <c r="B897" t="s">
        <v>7</v>
      </c>
      <c r="C897">
        <v>10.67</v>
      </c>
      <c r="D897">
        <v>2.6</v>
      </c>
      <c r="E897" s="2">
        <f>Portfolio_Data_ProductGroups[[#This Row],[Profit_EUR_m]]/Portfolio_Data_ProductGroups[[#This Row],[Revenue_EUR_m]]</f>
        <v>0.24367385192127461</v>
      </c>
    </row>
    <row r="898" spans="1:5" x14ac:dyDescent="0.3">
      <c r="A898" t="s">
        <v>904</v>
      </c>
      <c r="B898" t="s">
        <v>5</v>
      </c>
      <c r="C898">
        <v>17.3</v>
      </c>
      <c r="D898">
        <v>3.85</v>
      </c>
      <c r="E898" s="2">
        <f>Portfolio_Data_ProductGroups[[#This Row],[Profit_EUR_m]]/Portfolio_Data_ProductGroups[[#This Row],[Revenue_EUR_m]]</f>
        <v>0.22254335260115607</v>
      </c>
    </row>
    <row r="899" spans="1:5" x14ac:dyDescent="0.3">
      <c r="A899" t="s">
        <v>905</v>
      </c>
      <c r="B899" t="s">
        <v>5</v>
      </c>
      <c r="C899">
        <v>38.11</v>
      </c>
      <c r="D899">
        <v>9.6199999999999992</v>
      </c>
      <c r="E899" s="2">
        <f>Portfolio_Data_ProductGroups[[#This Row],[Profit_EUR_m]]/Portfolio_Data_ProductGroups[[#This Row],[Revenue_EUR_m]]</f>
        <v>0.25242718446601942</v>
      </c>
    </row>
    <row r="900" spans="1:5" x14ac:dyDescent="0.3">
      <c r="A900" t="s">
        <v>906</v>
      </c>
      <c r="B900" t="s">
        <v>7</v>
      </c>
      <c r="C900">
        <v>8.08</v>
      </c>
      <c r="D900">
        <v>2.63</v>
      </c>
      <c r="E900" s="2">
        <f>Portfolio_Data_ProductGroups[[#This Row],[Profit_EUR_m]]/Portfolio_Data_ProductGroups[[#This Row],[Revenue_EUR_m]]</f>
        <v>0.32549504950495051</v>
      </c>
    </row>
    <row r="901" spans="1:5" x14ac:dyDescent="0.3">
      <c r="A901" t="s">
        <v>907</v>
      </c>
      <c r="B901" t="s">
        <v>7</v>
      </c>
      <c r="C901">
        <v>38.14</v>
      </c>
      <c r="D901">
        <v>12.44</v>
      </c>
      <c r="E901" s="2">
        <f>Portfolio_Data_ProductGroups[[#This Row],[Profit_EUR_m]]/Portfolio_Data_ProductGroups[[#This Row],[Revenue_EUR_m]]</f>
        <v>0.32616675406397483</v>
      </c>
    </row>
    <row r="902" spans="1:5" x14ac:dyDescent="0.3">
      <c r="A902" t="s">
        <v>908</v>
      </c>
      <c r="B902" t="s">
        <v>7</v>
      </c>
      <c r="C902">
        <v>5.51</v>
      </c>
      <c r="D902">
        <v>1.63</v>
      </c>
      <c r="E902" s="2">
        <f>Portfolio_Data_ProductGroups[[#This Row],[Profit_EUR_m]]/Portfolio_Data_ProductGroups[[#This Row],[Revenue_EUR_m]]</f>
        <v>0.29582577132486387</v>
      </c>
    </row>
    <row r="903" spans="1:5" x14ac:dyDescent="0.3">
      <c r="A903" t="s">
        <v>909</v>
      </c>
      <c r="B903" t="s">
        <v>7</v>
      </c>
      <c r="C903">
        <v>43.97</v>
      </c>
      <c r="D903">
        <v>13.38</v>
      </c>
      <c r="E903" s="2">
        <f>Portfolio_Data_ProductGroups[[#This Row],[Profit_EUR_m]]/Portfolio_Data_ProductGroups[[#This Row],[Revenue_EUR_m]]</f>
        <v>0.30429838526267911</v>
      </c>
    </row>
    <row r="904" spans="1:5" x14ac:dyDescent="0.3">
      <c r="A904" t="s">
        <v>910</v>
      </c>
      <c r="B904" t="s">
        <v>5</v>
      </c>
      <c r="C904">
        <v>24.16</v>
      </c>
      <c r="D904">
        <v>4.49</v>
      </c>
      <c r="E904" s="2">
        <f>Portfolio_Data_ProductGroups[[#This Row],[Profit_EUR_m]]/Portfolio_Data_ProductGroups[[#This Row],[Revenue_EUR_m]]</f>
        <v>0.18584437086092717</v>
      </c>
    </row>
    <row r="905" spans="1:5" x14ac:dyDescent="0.3">
      <c r="A905" t="s">
        <v>911</v>
      </c>
      <c r="B905" t="s">
        <v>7</v>
      </c>
      <c r="C905">
        <v>33.56</v>
      </c>
      <c r="D905">
        <v>8.19</v>
      </c>
      <c r="E905" s="2">
        <f>Portfolio_Data_ProductGroups[[#This Row],[Profit_EUR_m]]/Portfolio_Data_ProductGroups[[#This Row],[Revenue_EUR_m]]</f>
        <v>0.2440405244338498</v>
      </c>
    </row>
    <row r="906" spans="1:5" x14ac:dyDescent="0.3">
      <c r="A906" t="s">
        <v>912</v>
      </c>
      <c r="B906" t="s">
        <v>5</v>
      </c>
      <c r="C906">
        <v>21.42</v>
      </c>
      <c r="D906">
        <v>5.12</v>
      </c>
      <c r="E906" s="2">
        <f>Portfolio_Data_ProductGroups[[#This Row],[Profit_EUR_m]]/Portfolio_Data_ProductGroups[[#This Row],[Revenue_EUR_m]]</f>
        <v>0.23902894491129784</v>
      </c>
    </row>
    <row r="907" spans="1:5" x14ac:dyDescent="0.3">
      <c r="A907" t="s">
        <v>913</v>
      </c>
      <c r="B907" t="s">
        <v>13</v>
      </c>
      <c r="C907">
        <v>4.62</v>
      </c>
      <c r="D907">
        <v>1.61</v>
      </c>
      <c r="E907" s="2">
        <f>Portfolio_Data_ProductGroups[[#This Row],[Profit_EUR_m]]/Portfolio_Data_ProductGroups[[#This Row],[Revenue_EUR_m]]</f>
        <v>0.34848484848484851</v>
      </c>
    </row>
    <row r="908" spans="1:5" x14ac:dyDescent="0.3">
      <c r="A908" t="s">
        <v>914</v>
      </c>
      <c r="B908" t="s">
        <v>5</v>
      </c>
      <c r="C908">
        <v>5.55</v>
      </c>
      <c r="D908">
        <v>1.77</v>
      </c>
      <c r="E908" s="2">
        <f>Portfolio_Data_ProductGroups[[#This Row],[Profit_EUR_m]]/Portfolio_Data_ProductGroups[[#This Row],[Revenue_EUR_m]]</f>
        <v>0.31891891891891894</v>
      </c>
    </row>
    <row r="909" spans="1:5" x14ac:dyDescent="0.3">
      <c r="A909" t="s">
        <v>915</v>
      </c>
      <c r="B909" t="s">
        <v>9</v>
      </c>
      <c r="C909">
        <v>22.33</v>
      </c>
      <c r="D909">
        <v>5.7</v>
      </c>
      <c r="E909" s="2">
        <f>Portfolio_Data_ProductGroups[[#This Row],[Profit_EUR_m]]/Portfolio_Data_ProductGroups[[#This Row],[Revenue_EUR_m]]</f>
        <v>0.25526197939991047</v>
      </c>
    </row>
    <row r="910" spans="1:5" x14ac:dyDescent="0.3">
      <c r="A910" t="s">
        <v>916</v>
      </c>
      <c r="B910" t="s">
        <v>13</v>
      </c>
      <c r="C910">
        <v>11.63</v>
      </c>
      <c r="D910">
        <v>5.69</v>
      </c>
      <c r="E910" s="2">
        <f>Portfolio_Data_ProductGroups[[#This Row],[Profit_EUR_m]]/Portfolio_Data_ProductGroups[[#This Row],[Revenue_EUR_m]]</f>
        <v>0.4892519346517627</v>
      </c>
    </row>
    <row r="911" spans="1:5" x14ac:dyDescent="0.3">
      <c r="A911" t="s">
        <v>917</v>
      </c>
      <c r="B911" t="s">
        <v>5</v>
      </c>
      <c r="C911">
        <v>27.96</v>
      </c>
      <c r="D911">
        <v>8.9</v>
      </c>
      <c r="E911" s="2">
        <f>Portfolio_Data_ProductGroups[[#This Row],[Profit_EUR_m]]/Portfolio_Data_ProductGroups[[#This Row],[Revenue_EUR_m]]</f>
        <v>0.31831187410586553</v>
      </c>
    </row>
    <row r="912" spans="1:5" x14ac:dyDescent="0.3">
      <c r="A912" t="s">
        <v>918</v>
      </c>
      <c r="B912" t="s">
        <v>5</v>
      </c>
      <c r="C912">
        <v>19.440000000000001</v>
      </c>
      <c r="D912">
        <v>6.2</v>
      </c>
      <c r="E912" s="2">
        <f>Portfolio_Data_ProductGroups[[#This Row],[Profit_EUR_m]]/Portfolio_Data_ProductGroups[[#This Row],[Revenue_EUR_m]]</f>
        <v>0.31893004115226337</v>
      </c>
    </row>
    <row r="913" spans="1:5" x14ac:dyDescent="0.3">
      <c r="A913" t="s">
        <v>919</v>
      </c>
      <c r="B913" t="s">
        <v>13</v>
      </c>
      <c r="C913">
        <v>13.08</v>
      </c>
      <c r="D913">
        <v>6.27</v>
      </c>
      <c r="E913" s="2">
        <f>Portfolio_Data_ProductGroups[[#This Row],[Profit_EUR_m]]/Portfolio_Data_ProductGroups[[#This Row],[Revenue_EUR_m]]</f>
        <v>0.47935779816513757</v>
      </c>
    </row>
    <row r="914" spans="1:5" x14ac:dyDescent="0.3">
      <c r="A914" t="s">
        <v>920</v>
      </c>
      <c r="B914" t="s">
        <v>13</v>
      </c>
      <c r="C914">
        <v>15.62</v>
      </c>
      <c r="D914">
        <v>7.28</v>
      </c>
      <c r="E914" s="2">
        <f>Portfolio_Data_ProductGroups[[#This Row],[Profit_EUR_m]]/Portfolio_Data_ProductGroups[[#This Row],[Revenue_EUR_m]]</f>
        <v>0.46606914212548017</v>
      </c>
    </row>
    <row r="915" spans="1:5" x14ac:dyDescent="0.3">
      <c r="A915" t="s">
        <v>921</v>
      </c>
      <c r="B915" t="s">
        <v>9</v>
      </c>
      <c r="C915">
        <v>19.239999999999998</v>
      </c>
      <c r="D915">
        <v>4.24</v>
      </c>
      <c r="E915" s="2">
        <f>Portfolio_Data_ProductGroups[[#This Row],[Profit_EUR_m]]/Portfolio_Data_ProductGroups[[#This Row],[Revenue_EUR_m]]</f>
        <v>0.22037422037422041</v>
      </c>
    </row>
    <row r="916" spans="1:5" x14ac:dyDescent="0.3">
      <c r="A916" t="s">
        <v>922</v>
      </c>
      <c r="B916" t="s">
        <v>7</v>
      </c>
      <c r="C916">
        <v>28.56</v>
      </c>
      <c r="D916">
        <v>10.1</v>
      </c>
      <c r="E916" s="2">
        <f>Portfolio_Data_ProductGroups[[#This Row],[Profit_EUR_m]]/Portfolio_Data_ProductGroups[[#This Row],[Revenue_EUR_m]]</f>
        <v>0.35364145658263307</v>
      </c>
    </row>
    <row r="917" spans="1:5" x14ac:dyDescent="0.3">
      <c r="A917" t="s">
        <v>923</v>
      </c>
      <c r="B917" t="s">
        <v>7</v>
      </c>
      <c r="C917">
        <v>13.02</v>
      </c>
      <c r="D917">
        <v>3.88</v>
      </c>
      <c r="E917" s="2">
        <f>Portfolio_Data_ProductGroups[[#This Row],[Profit_EUR_m]]/Portfolio_Data_ProductGroups[[#This Row],[Revenue_EUR_m]]</f>
        <v>0.29800307219662059</v>
      </c>
    </row>
    <row r="918" spans="1:5" x14ac:dyDescent="0.3">
      <c r="A918" t="s">
        <v>924</v>
      </c>
      <c r="B918" t="s">
        <v>5</v>
      </c>
      <c r="C918">
        <v>39.869999999999997</v>
      </c>
      <c r="D918">
        <v>10.23</v>
      </c>
      <c r="E918" s="2">
        <f>Portfolio_Data_ProductGroups[[#This Row],[Profit_EUR_m]]/Portfolio_Data_ProductGroups[[#This Row],[Revenue_EUR_m]]</f>
        <v>0.25658389766741913</v>
      </c>
    </row>
    <row r="919" spans="1:5" x14ac:dyDescent="0.3">
      <c r="A919" t="s">
        <v>925</v>
      </c>
      <c r="B919" t="s">
        <v>13</v>
      </c>
      <c r="C919">
        <v>5.08</v>
      </c>
      <c r="D919">
        <v>2.97</v>
      </c>
      <c r="E919" s="2">
        <f>Portfolio_Data_ProductGroups[[#This Row],[Profit_EUR_m]]/Portfolio_Data_ProductGroups[[#This Row],[Revenue_EUR_m]]</f>
        <v>0.58464566929133865</v>
      </c>
    </row>
    <row r="920" spans="1:5" x14ac:dyDescent="0.3">
      <c r="A920" t="s">
        <v>926</v>
      </c>
      <c r="B920" t="s">
        <v>5</v>
      </c>
      <c r="C920">
        <v>19.18</v>
      </c>
      <c r="D920">
        <v>4.43</v>
      </c>
      <c r="E920" s="2">
        <f>Portfolio_Data_ProductGroups[[#This Row],[Profit_EUR_m]]/Portfolio_Data_ProductGroups[[#This Row],[Revenue_EUR_m]]</f>
        <v>0.23096976016684045</v>
      </c>
    </row>
    <row r="921" spans="1:5" x14ac:dyDescent="0.3">
      <c r="A921" t="s">
        <v>927</v>
      </c>
      <c r="B921" t="s">
        <v>9</v>
      </c>
      <c r="C921">
        <v>17.05</v>
      </c>
      <c r="D921">
        <v>4.08</v>
      </c>
      <c r="E921" s="2">
        <f>Portfolio_Data_ProductGroups[[#This Row],[Profit_EUR_m]]/Portfolio_Data_ProductGroups[[#This Row],[Revenue_EUR_m]]</f>
        <v>0.23929618768328445</v>
      </c>
    </row>
    <row r="922" spans="1:5" x14ac:dyDescent="0.3">
      <c r="A922" t="s">
        <v>928</v>
      </c>
      <c r="B922" t="s">
        <v>9</v>
      </c>
      <c r="C922">
        <v>12.65</v>
      </c>
      <c r="D922">
        <v>2.77</v>
      </c>
      <c r="E922" s="2">
        <f>Portfolio_Data_ProductGroups[[#This Row],[Profit_EUR_m]]/Portfolio_Data_ProductGroups[[#This Row],[Revenue_EUR_m]]</f>
        <v>0.21897233201581026</v>
      </c>
    </row>
    <row r="923" spans="1:5" x14ac:dyDescent="0.3">
      <c r="A923" t="s">
        <v>929</v>
      </c>
      <c r="B923" t="s">
        <v>5</v>
      </c>
      <c r="C923">
        <v>49.42</v>
      </c>
      <c r="D923">
        <v>14.76</v>
      </c>
      <c r="E923" s="2">
        <f>Portfolio_Data_ProductGroups[[#This Row],[Profit_EUR_m]]/Portfolio_Data_ProductGroups[[#This Row],[Revenue_EUR_m]]</f>
        <v>0.29866450829623631</v>
      </c>
    </row>
    <row r="924" spans="1:5" x14ac:dyDescent="0.3">
      <c r="A924" t="s">
        <v>930</v>
      </c>
      <c r="B924" t="s">
        <v>13</v>
      </c>
      <c r="C924">
        <v>29.29</v>
      </c>
      <c r="D924">
        <v>12.73</v>
      </c>
      <c r="E924" s="2">
        <f>Portfolio_Data_ProductGroups[[#This Row],[Profit_EUR_m]]/Portfolio_Data_ProductGroups[[#This Row],[Revenue_EUR_m]]</f>
        <v>0.43461932400136566</v>
      </c>
    </row>
    <row r="925" spans="1:5" x14ac:dyDescent="0.3">
      <c r="A925" t="s">
        <v>931</v>
      </c>
      <c r="B925" t="s">
        <v>7</v>
      </c>
      <c r="C925">
        <v>9.44</v>
      </c>
      <c r="D925">
        <v>2.81</v>
      </c>
      <c r="E925" s="2">
        <f>Portfolio_Data_ProductGroups[[#This Row],[Profit_EUR_m]]/Portfolio_Data_ProductGroups[[#This Row],[Revenue_EUR_m]]</f>
        <v>0.29766949152542377</v>
      </c>
    </row>
    <row r="926" spans="1:5" x14ac:dyDescent="0.3">
      <c r="A926" t="s">
        <v>932</v>
      </c>
      <c r="B926" t="s">
        <v>13</v>
      </c>
      <c r="C926">
        <v>14.44</v>
      </c>
      <c r="D926">
        <v>7.85</v>
      </c>
      <c r="E926" s="2">
        <f>Portfolio_Data_ProductGroups[[#This Row],[Profit_EUR_m]]/Portfolio_Data_ProductGroups[[#This Row],[Revenue_EUR_m]]</f>
        <v>0.5436288088642659</v>
      </c>
    </row>
    <row r="927" spans="1:5" x14ac:dyDescent="0.3">
      <c r="A927" t="s">
        <v>933</v>
      </c>
      <c r="B927" t="s">
        <v>5</v>
      </c>
      <c r="C927">
        <v>22.44</v>
      </c>
      <c r="D927">
        <v>6.05</v>
      </c>
      <c r="E927" s="2">
        <f>Portfolio_Data_ProductGroups[[#This Row],[Profit_EUR_m]]/Portfolio_Data_ProductGroups[[#This Row],[Revenue_EUR_m]]</f>
        <v>0.26960784313725489</v>
      </c>
    </row>
    <row r="928" spans="1:5" x14ac:dyDescent="0.3">
      <c r="A928" t="s">
        <v>934</v>
      </c>
      <c r="B928" t="s">
        <v>5</v>
      </c>
      <c r="C928">
        <v>9.27</v>
      </c>
      <c r="D928">
        <v>2.44</v>
      </c>
      <c r="E928" s="2">
        <f>Portfolio_Data_ProductGroups[[#This Row],[Profit_EUR_m]]/Portfolio_Data_ProductGroups[[#This Row],[Revenue_EUR_m]]</f>
        <v>0.26321467098166129</v>
      </c>
    </row>
    <row r="929" spans="1:5" x14ac:dyDescent="0.3">
      <c r="A929" t="s">
        <v>935</v>
      </c>
      <c r="B929" t="s">
        <v>5</v>
      </c>
      <c r="C929">
        <v>40.56</v>
      </c>
      <c r="D929">
        <v>11.96</v>
      </c>
      <c r="E929" s="2">
        <f>Portfolio_Data_ProductGroups[[#This Row],[Profit_EUR_m]]/Portfolio_Data_ProductGroups[[#This Row],[Revenue_EUR_m]]</f>
        <v>0.29487179487179488</v>
      </c>
    </row>
    <row r="930" spans="1:5" x14ac:dyDescent="0.3">
      <c r="A930" t="s">
        <v>936</v>
      </c>
      <c r="B930" t="s">
        <v>9</v>
      </c>
      <c r="C930">
        <v>11.56</v>
      </c>
      <c r="D930">
        <v>1.93</v>
      </c>
      <c r="E930" s="2">
        <f>Portfolio_Data_ProductGroups[[#This Row],[Profit_EUR_m]]/Portfolio_Data_ProductGroups[[#This Row],[Revenue_EUR_m]]</f>
        <v>0.16695501730103804</v>
      </c>
    </row>
    <row r="931" spans="1:5" x14ac:dyDescent="0.3">
      <c r="A931" t="s">
        <v>937</v>
      </c>
      <c r="B931" t="s">
        <v>5</v>
      </c>
      <c r="C931">
        <v>44.67</v>
      </c>
      <c r="D931">
        <v>12.66</v>
      </c>
      <c r="E931" s="2">
        <f>Portfolio_Data_ProductGroups[[#This Row],[Profit_EUR_m]]/Portfolio_Data_ProductGroups[[#This Row],[Revenue_EUR_m]]</f>
        <v>0.28341168569509739</v>
      </c>
    </row>
    <row r="932" spans="1:5" x14ac:dyDescent="0.3">
      <c r="A932" t="s">
        <v>938</v>
      </c>
      <c r="B932" t="s">
        <v>9</v>
      </c>
      <c r="C932">
        <v>7.81</v>
      </c>
      <c r="D932">
        <v>1.92</v>
      </c>
      <c r="E932" s="2">
        <f>Portfolio_Data_ProductGroups[[#This Row],[Profit_EUR_m]]/Portfolio_Data_ProductGroups[[#This Row],[Revenue_EUR_m]]</f>
        <v>0.24583866837387963</v>
      </c>
    </row>
    <row r="933" spans="1:5" x14ac:dyDescent="0.3">
      <c r="A933" t="s">
        <v>939</v>
      </c>
      <c r="B933" t="s">
        <v>13</v>
      </c>
      <c r="C933">
        <v>5.01</v>
      </c>
      <c r="D933">
        <v>2.35</v>
      </c>
      <c r="E933" s="2">
        <f>Portfolio_Data_ProductGroups[[#This Row],[Profit_EUR_m]]/Portfolio_Data_ProductGroups[[#This Row],[Revenue_EUR_m]]</f>
        <v>0.46906187624750501</v>
      </c>
    </row>
    <row r="934" spans="1:5" x14ac:dyDescent="0.3">
      <c r="A934" t="s">
        <v>940</v>
      </c>
      <c r="B934" t="s">
        <v>9</v>
      </c>
      <c r="C934">
        <v>39.29</v>
      </c>
      <c r="D934">
        <v>8.36</v>
      </c>
      <c r="E934" s="2">
        <f>Portfolio_Data_ProductGroups[[#This Row],[Profit_EUR_m]]/Portfolio_Data_ProductGroups[[#This Row],[Revenue_EUR_m]]</f>
        <v>0.21277678798676508</v>
      </c>
    </row>
    <row r="935" spans="1:5" x14ac:dyDescent="0.3">
      <c r="A935" t="s">
        <v>941</v>
      </c>
      <c r="B935" t="s">
        <v>7</v>
      </c>
      <c r="C935">
        <v>16.260000000000002</v>
      </c>
      <c r="D935">
        <v>3.96</v>
      </c>
      <c r="E935" s="2">
        <f>Portfolio_Data_ProductGroups[[#This Row],[Profit_EUR_m]]/Portfolio_Data_ProductGroups[[#This Row],[Revenue_EUR_m]]</f>
        <v>0.24354243542435422</v>
      </c>
    </row>
    <row r="936" spans="1:5" x14ac:dyDescent="0.3">
      <c r="A936" t="s">
        <v>942</v>
      </c>
      <c r="B936" t="s">
        <v>5</v>
      </c>
      <c r="C936">
        <v>48.57</v>
      </c>
      <c r="D936">
        <v>12.1</v>
      </c>
      <c r="E936" s="2">
        <f>Portfolio_Data_ProductGroups[[#This Row],[Profit_EUR_m]]/Portfolio_Data_ProductGroups[[#This Row],[Revenue_EUR_m]]</f>
        <v>0.24912497426394892</v>
      </c>
    </row>
    <row r="937" spans="1:5" x14ac:dyDescent="0.3">
      <c r="A937" t="s">
        <v>943</v>
      </c>
      <c r="B937" t="s">
        <v>5</v>
      </c>
      <c r="C937">
        <v>9.2899999999999991</v>
      </c>
      <c r="D937">
        <v>3.13</v>
      </c>
      <c r="E937" s="2">
        <f>Portfolio_Data_ProductGroups[[#This Row],[Profit_EUR_m]]/Portfolio_Data_ProductGroups[[#This Row],[Revenue_EUR_m]]</f>
        <v>0.33692142088266958</v>
      </c>
    </row>
    <row r="938" spans="1:5" x14ac:dyDescent="0.3">
      <c r="A938" t="s">
        <v>944</v>
      </c>
      <c r="B938" t="s">
        <v>5</v>
      </c>
      <c r="C938">
        <v>25.47</v>
      </c>
      <c r="D938">
        <v>7.13</v>
      </c>
      <c r="E938" s="2">
        <f>Portfolio_Data_ProductGroups[[#This Row],[Profit_EUR_m]]/Portfolio_Data_ProductGroups[[#This Row],[Revenue_EUR_m]]</f>
        <v>0.27993718099725168</v>
      </c>
    </row>
    <row r="939" spans="1:5" x14ac:dyDescent="0.3">
      <c r="A939" t="s">
        <v>945</v>
      </c>
      <c r="B939" t="s">
        <v>5</v>
      </c>
      <c r="C939">
        <v>13.65</v>
      </c>
      <c r="D939">
        <v>2.62</v>
      </c>
      <c r="E939" s="2">
        <f>Portfolio_Data_ProductGroups[[#This Row],[Profit_EUR_m]]/Portfolio_Data_ProductGroups[[#This Row],[Revenue_EUR_m]]</f>
        <v>0.19194139194139195</v>
      </c>
    </row>
    <row r="940" spans="1:5" x14ac:dyDescent="0.3">
      <c r="A940" t="s">
        <v>946</v>
      </c>
      <c r="B940" t="s">
        <v>7</v>
      </c>
      <c r="C940">
        <v>13.76</v>
      </c>
      <c r="D940">
        <v>4.4400000000000004</v>
      </c>
      <c r="E940" s="2">
        <f>Portfolio_Data_ProductGroups[[#This Row],[Profit_EUR_m]]/Portfolio_Data_ProductGroups[[#This Row],[Revenue_EUR_m]]</f>
        <v>0.32267441860465118</v>
      </c>
    </row>
    <row r="941" spans="1:5" x14ac:dyDescent="0.3">
      <c r="A941" t="s">
        <v>947</v>
      </c>
      <c r="B941" t="s">
        <v>5</v>
      </c>
      <c r="C941">
        <v>13.56</v>
      </c>
      <c r="D941">
        <v>3.71</v>
      </c>
      <c r="E941" s="2">
        <f>Portfolio_Data_ProductGroups[[#This Row],[Profit_EUR_m]]/Portfolio_Data_ProductGroups[[#This Row],[Revenue_EUR_m]]</f>
        <v>0.27359882005899705</v>
      </c>
    </row>
    <row r="942" spans="1:5" x14ac:dyDescent="0.3">
      <c r="A942" t="s">
        <v>948</v>
      </c>
      <c r="B942" t="s">
        <v>9</v>
      </c>
      <c r="C942">
        <v>45.65</v>
      </c>
      <c r="D942">
        <v>13.14</v>
      </c>
      <c r="E942" s="2">
        <f>Portfolio_Data_ProductGroups[[#This Row],[Profit_EUR_m]]/Portfolio_Data_ProductGroups[[#This Row],[Revenue_EUR_m]]</f>
        <v>0.28784227820372399</v>
      </c>
    </row>
    <row r="943" spans="1:5" x14ac:dyDescent="0.3">
      <c r="A943" t="s">
        <v>949</v>
      </c>
      <c r="B943" t="s">
        <v>5</v>
      </c>
      <c r="C943">
        <v>13.88</v>
      </c>
      <c r="D943">
        <v>3.03</v>
      </c>
      <c r="E943" s="2">
        <f>Portfolio_Data_ProductGroups[[#This Row],[Profit_EUR_m]]/Portfolio_Data_ProductGroups[[#This Row],[Revenue_EUR_m]]</f>
        <v>0.21829971181556193</v>
      </c>
    </row>
    <row r="944" spans="1:5" x14ac:dyDescent="0.3">
      <c r="A944" t="s">
        <v>950</v>
      </c>
      <c r="B944" t="s">
        <v>5</v>
      </c>
      <c r="C944">
        <v>46.6</v>
      </c>
      <c r="D944">
        <v>10.27</v>
      </c>
      <c r="E944" s="2">
        <f>Portfolio_Data_ProductGroups[[#This Row],[Profit_EUR_m]]/Portfolio_Data_ProductGroups[[#This Row],[Revenue_EUR_m]]</f>
        <v>0.22038626609442058</v>
      </c>
    </row>
    <row r="945" spans="1:5" x14ac:dyDescent="0.3">
      <c r="A945" t="s">
        <v>951</v>
      </c>
      <c r="B945" t="s">
        <v>5</v>
      </c>
      <c r="C945">
        <v>18.87</v>
      </c>
      <c r="D945">
        <v>3.24</v>
      </c>
      <c r="E945" s="2">
        <f>Portfolio_Data_ProductGroups[[#This Row],[Profit_EUR_m]]/Portfolio_Data_ProductGroups[[#This Row],[Revenue_EUR_m]]</f>
        <v>0.17170111287758347</v>
      </c>
    </row>
    <row r="946" spans="1:5" x14ac:dyDescent="0.3">
      <c r="A946" t="s">
        <v>952</v>
      </c>
      <c r="B946" t="s">
        <v>7</v>
      </c>
      <c r="C946">
        <v>10.42</v>
      </c>
      <c r="D946">
        <v>3.05</v>
      </c>
      <c r="E946" s="2">
        <f>Portfolio_Data_ProductGroups[[#This Row],[Profit_EUR_m]]/Portfolio_Data_ProductGroups[[#This Row],[Revenue_EUR_m]]</f>
        <v>0.29270633397312856</v>
      </c>
    </row>
    <row r="947" spans="1:5" x14ac:dyDescent="0.3">
      <c r="A947" t="s">
        <v>953</v>
      </c>
      <c r="B947" t="s">
        <v>9</v>
      </c>
      <c r="C947">
        <v>8.41</v>
      </c>
      <c r="D947">
        <v>2.83</v>
      </c>
      <c r="E947" s="2">
        <f>Portfolio_Data_ProductGroups[[#This Row],[Profit_EUR_m]]/Portfolio_Data_ProductGroups[[#This Row],[Revenue_EUR_m]]</f>
        <v>0.33650416171224734</v>
      </c>
    </row>
    <row r="948" spans="1:5" x14ac:dyDescent="0.3">
      <c r="A948" t="s">
        <v>954</v>
      </c>
      <c r="B948" t="s">
        <v>13</v>
      </c>
      <c r="C948">
        <v>9.8699999999999992</v>
      </c>
      <c r="D948">
        <v>3.68</v>
      </c>
      <c r="E948" s="2">
        <f>Portfolio_Data_ProductGroups[[#This Row],[Profit_EUR_m]]/Portfolio_Data_ProductGroups[[#This Row],[Revenue_EUR_m]]</f>
        <v>0.37284701114488356</v>
      </c>
    </row>
    <row r="949" spans="1:5" x14ac:dyDescent="0.3">
      <c r="A949" t="s">
        <v>955</v>
      </c>
      <c r="B949" t="s">
        <v>7</v>
      </c>
      <c r="C949">
        <v>7.18</v>
      </c>
      <c r="D949">
        <v>2.46</v>
      </c>
      <c r="E949" s="2">
        <f>Portfolio_Data_ProductGroups[[#This Row],[Profit_EUR_m]]/Portfolio_Data_ProductGroups[[#This Row],[Revenue_EUR_m]]</f>
        <v>0.3426183844011142</v>
      </c>
    </row>
    <row r="950" spans="1:5" x14ac:dyDescent="0.3">
      <c r="A950" t="s">
        <v>956</v>
      </c>
      <c r="B950" t="s">
        <v>7</v>
      </c>
      <c r="C950">
        <v>38.74</v>
      </c>
      <c r="D950">
        <v>11.13</v>
      </c>
      <c r="E950" s="2">
        <f>Portfolio_Data_ProductGroups[[#This Row],[Profit_EUR_m]]/Portfolio_Data_ProductGroups[[#This Row],[Revenue_EUR_m]]</f>
        <v>0.28729994837377387</v>
      </c>
    </row>
    <row r="951" spans="1:5" x14ac:dyDescent="0.3">
      <c r="A951" t="s">
        <v>957</v>
      </c>
      <c r="B951" t="s">
        <v>5</v>
      </c>
      <c r="C951">
        <v>17.420000000000002</v>
      </c>
      <c r="D951">
        <v>5.01</v>
      </c>
      <c r="E951" s="2">
        <f>Portfolio_Data_ProductGroups[[#This Row],[Profit_EUR_m]]/Portfolio_Data_ProductGroups[[#This Row],[Revenue_EUR_m]]</f>
        <v>0.28760045924225025</v>
      </c>
    </row>
    <row r="952" spans="1:5" x14ac:dyDescent="0.3">
      <c r="A952" t="s">
        <v>958</v>
      </c>
      <c r="B952" t="s">
        <v>7</v>
      </c>
      <c r="C952">
        <v>8.09</v>
      </c>
      <c r="D952">
        <v>2.1</v>
      </c>
      <c r="E952" s="2">
        <f>Portfolio_Data_ProductGroups[[#This Row],[Profit_EUR_m]]/Portfolio_Data_ProductGroups[[#This Row],[Revenue_EUR_m]]</f>
        <v>0.25957972805933255</v>
      </c>
    </row>
    <row r="953" spans="1:5" x14ac:dyDescent="0.3">
      <c r="A953" t="s">
        <v>959</v>
      </c>
      <c r="B953" t="s">
        <v>5</v>
      </c>
      <c r="C953">
        <v>29.9</v>
      </c>
      <c r="D953">
        <v>7.83</v>
      </c>
      <c r="E953" s="2">
        <f>Portfolio_Data_ProductGroups[[#This Row],[Profit_EUR_m]]/Portfolio_Data_ProductGroups[[#This Row],[Revenue_EUR_m]]</f>
        <v>0.26187290969899668</v>
      </c>
    </row>
    <row r="954" spans="1:5" x14ac:dyDescent="0.3">
      <c r="A954" t="s">
        <v>960</v>
      </c>
      <c r="B954" t="s">
        <v>9</v>
      </c>
      <c r="C954">
        <v>24.91</v>
      </c>
      <c r="D954">
        <v>5.18</v>
      </c>
      <c r="E954" s="2">
        <f>Portfolio_Data_ProductGroups[[#This Row],[Profit_EUR_m]]/Portfolio_Data_ProductGroups[[#This Row],[Revenue_EUR_m]]</f>
        <v>0.20794861501405057</v>
      </c>
    </row>
    <row r="955" spans="1:5" x14ac:dyDescent="0.3">
      <c r="A955" t="s">
        <v>961</v>
      </c>
      <c r="B955" t="s">
        <v>7</v>
      </c>
      <c r="C955">
        <v>56.04</v>
      </c>
      <c r="D955">
        <v>13.9</v>
      </c>
      <c r="E955" s="2">
        <f>Portfolio_Data_ProductGroups[[#This Row],[Profit_EUR_m]]/Portfolio_Data_ProductGroups[[#This Row],[Revenue_EUR_m]]</f>
        <v>0.24803711634546755</v>
      </c>
    </row>
    <row r="956" spans="1:5" x14ac:dyDescent="0.3">
      <c r="A956" t="s">
        <v>962</v>
      </c>
      <c r="B956" t="s">
        <v>5</v>
      </c>
      <c r="C956">
        <v>3.4</v>
      </c>
      <c r="D956">
        <v>0.84</v>
      </c>
      <c r="E956" s="2">
        <f>Portfolio_Data_ProductGroups[[#This Row],[Profit_EUR_m]]/Portfolio_Data_ProductGroups[[#This Row],[Revenue_EUR_m]]</f>
        <v>0.24705882352941178</v>
      </c>
    </row>
    <row r="957" spans="1:5" x14ac:dyDescent="0.3">
      <c r="A957" t="s">
        <v>963</v>
      </c>
      <c r="B957" t="s">
        <v>5</v>
      </c>
      <c r="C957">
        <v>18.350000000000001</v>
      </c>
      <c r="D957">
        <v>4.41</v>
      </c>
      <c r="E957" s="2">
        <f>Portfolio_Data_ProductGroups[[#This Row],[Profit_EUR_m]]/Portfolio_Data_ProductGroups[[#This Row],[Revenue_EUR_m]]</f>
        <v>0.24032697547683923</v>
      </c>
    </row>
    <row r="958" spans="1:5" x14ac:dyDescent="0.3">
      <c r="A958" t="s">
        <v>964</v>
      </c>
      <c r="B958" t="s">
        <v>7</v>
      </c>
      <c r="C958">
        <v>10.42</v>
      </c>
      <c r="D958">
        <v>3.72</v>
      </c>
      <c r="E958" s="2">
        <f>Portfolio_Data_ProductGroups[[#This Row],[Profit_EUR_m]]/Portfolio_Data_ProductGroups[[#This Row],[Revenue_EUR_m]]</f>
        <v>0.35700575815738966</v>
      </c>
    </row>
    <row r="959" spans="1:5" x14ac:dyDescent="0.3">
      <c r="A959" t="s">
        <v>965</v>
      </c>
      <c r="B959" t="s">
        <v>13</v>
      </c>
      <c r="C959">
        <v>12.11</v>
      </c>
      <c r="D959">
        <v>4.76</v>
      </c>
      <c r="E959" s="2">
        <f>Portfolio_Data_ProductGroups[[#This Row],[Profit_EUR_m]]/Portfolio_Data_ProductGroups[[#This Row],[Revenue_EUR_m]]</f>
        <v>0.39306358381502893</v>
      </c>
    </row>
    <row r="960" spans="1:5" x14ac:dyDescent="0.3">
      <c r="A960" t="s">
        <v>966</v>
      </c>
      <c r="B960" t="s">
        <v>7</v>
      </c>
      <c r="C960">
        <v>11.72</v>
      </c>
      <c r="D960">
        <v>4.18</v>
      </c>
      <c r="E960" s="2">
        <f>Portfolio_Data_ProductGroups[[#This Row],[Profit_EUR_m]]/Portfolio_Data_ProductGroups[[#This Row],[Revenue_EUR_m]]</f>
        <v>0.35665529010238906</v>
      </c>
    </row>
    <row r="961" spans="1:5" x14ac:dyDescent="0.3">
      <c r="A961" t="s">
        <v>967</v>
      </c>
      <c r="B961" t="s">
        <v>9</v>
      </c>
      <c r="C961">
        <v>9.77</v>
      </c>
      <c r="D961">
        <v>3.65</v>
      </c>
      <c r="E961" s="2">
        <f>Portfolio_Data_ProductGroups[[#This Row],[Profit_EUR_m]]/Portfolio_Data_ProductGroups[[#This Row],[Revenue_EUR_m]]</f>
        <v>0.37359263050153529</v>
      </c>
    </row>
    <row r="962" spans="1:5" x14ac:dyDescent="0.3">
      <c r="A962" t="s">
        <v>968</v>
      </c>
      <c r="B962" t="s">
        <v>5</v>
      </c>
      <c r="C962">
        <v>42.53</v>
      </c>
      <c r="D962">
        <v>10.199999999999999</v>
      </c>
      <c r="E962" s="2">
        <f>Portfolio_Data_ProductGroups[[#This Row],[Profit_EUR_m]]/Portfolio_Data_ProductGroups[[#This Row],[Revenue_EUR_m]]</f>
        <v>0.23983070773571594</v>
      </c>
    </row>
    <row r="963" spans="1:5" x14ac:dyDescent="0.3">
      <c r="A963" t="s">
        <v>969</v>
      </c>
      <c r="B963" t="s">
        <v>9</v>
      </c>
      <c r="C963">
        <v>21.43</v>
      </c>
      <c r="D963">
        <v>4.45</v>
      </c>
      <c r="E963" s="2">
        <f>Portfolio_Data_ProductGroups[[#This Row],[Profit_EUR_m]]/Portfolio_Data_ProductGroups[[#This Row],[Revenue_EUR_m]]</f>
        <v>0.20765282314512368</v>
      </c>
    </row>
    <row r="964" spans="1:5" x14ac:dyDescent="0.3">
      <c r="A964" t="s">
        <v>970</v>
      </c>
      <c r="B964" t="s">
        <v>9</v>
      </c>
      <c r="C964">
        <v>22.16</v>
      </c>
      <c r="D964">
        <v>3.23</v>
      </c>
      <c r="E964" s="2">
        <f>Portfolio_Data_ProductGroups[[#This Row],[Profit_EUR_m]]/Portfolio_Data_ProductGroups[[#This Row],[Revenue_EUR_m]]</f>
        <v>0.1457581227436823</v>
      </c>
    </row>
    <row r="965" spans="1:5" x14ac:dyDescent="0.3">
      <c r="A965" t="s">
        <v>971</v>
      </c>
      <c r="B965" t="s">
        <v>5</v>
      </c>
      <c r="C965">
        <v>57.42</v>
      </c>
      <c r="D965">
        <v>17.36</v>
      </c>
      <c r="E965" s="2">
        <f>Portfolio_Data_ProductGroups[[#This Row],[Profit_EUR_m]]/Portfolio_Data_ProductGroups[[#This Row],[Revenue_EUR_m]]</f>
        <v>0.30233368164402646</v>
      </c>
    </row>
    <row r="966" spans="1:5" x14ac:dyDescent="0.3">
      <c r="A966" t="s">
        <v>972</v>
      </c>
      <c r="B966" t="s">
        <v>5</v>
      </c>
      <c r="C966">
        <v>35.380000000000003</v>
      </c>
      <c r="D966">
        <v>5.83</v>
      </c>
      <c r="E966" s="2">
        <f>Portfolio_Data_ProductGroups[[#This Row],[Profit_EUR_m]]/Portfolio_Data_ProductGroups[[#This Row],[Revenue_EUR_m]]</f>
        <v>0.16478236291690218</v>
      </c>
    </row>
    <row r="967" spans="1:5" x14ac:dyDescent="0.3">
      <c r="A967" t="s">
        <v>973</v>
      </c>
      <c r="B967" t="s">
        <v>5</v>
      </c>
      <c r="C967">
        <v>29.8</v>
      </c>
      <c r="D967">
        <v>8.6199999999999992</v>
      </c>
      <c r="E967" s="2">
        <f>Portfolio_Data_ProductGroups[[#This Row],[Profit_EUR_m]]/Portfolio_Data_ProductGroups[[#This Row],[Revenue_EUR_m]]</f>
        <v>0.28926174496644291</v>
      </c>
    </row>
    <row r="968" spans="1:5" x14ac:dyDescent="0.3">
      <c r="A968" t="s">
        <v>974</v>
      </c>
      <c r="B968" t="s">
        <v>5</v>
      </c>
      <c r="C968">
        <v>58.73</v>
      </c>
      <c r="D968">
        <v>20.2</v>
      </c>
      <c r="E968" s="2">
        <f>Portfolio_Data_ProductGroups[[#This Row],[Profit_EUR_m]]/Portfolio_Data_ProductGroups[[#This Row],[Revenue_EUR_m]]</f>
        <v>0.34394687553209602</v>
      </c>
    </row>
    <row r="969" spans="1:5" x14ac:dyDescent="0.3">
      <c r="A969" t="s">
        <v>975</v>
      </c>
      <c r="B969" t="s">
        <v>9</v>
      </c>
      <c r="C969">
        <v>8.36</v>
      </c>
      <c r="D969">
        <v>2.79</v>
      </c>
      <c r="E969" s="2">
        <f>Portfolio_Data_ProductGroups[[#This Row],[Profit_EUR_m]]/Portfolio_Data_ProductGroups[[#This Row],[Revenue_EUR_m]]</f>
        <v>0.33373205741626799</v>
      </c>
    </row>
    <row r="970" spans="1:5" x14ac:dyDescent="0.3">
      <c r="A970" t="s">
        <v>976</v>
      </c>
      <c r="B970" t="s">
        <v>9</v>
      </c>
      <c r="C970">
        <v>47.78</v>
      </c>
      <c r="D970">
        <v>5.04</v>
      </c>
      <c r="E970" s="2">
        <f>Portfolio_Data_ProductGroups[[#This Row],[Profit_EUR_m]]/Portfolio_Data_ProductGroups[[#This Row],[Revenue_EUR_m]]</f>
        <v>0.10548346588530766</v>
      </c>
    </row>
    <row r="971" spans="1:5" x14ac:dyDescent="0.3">
      <c r="A971" t="s">
        <v>977</v>
      </c>
      <c r="B971" t="s">
        <v>5</v>
      </c>
      <c r="C971">
        <v>10.36</v>
      </c>
      <c r="D971">
        <v>2.72</v>
      </c>
      <c r="E971" s="2">
        <f>Portfolio_Data_ProductGroups[[#This Row],[Profit_EUR_m]]/Portfolio_Data_ProductGroups[[#This Row],[Revenue_EUR_m]]</f>
        <v>0.26254826254826258</v>
      </c>
    </row>
    <row r="972" spans="1:5" x14ac:dyDescent="0.3">
      <c r="A972" t="s">
        <v>978</v>
      </c>
      <c r="B972" t="s">
        <v>5</v>
      </c>
      <c r="C972">
        <v>13.52</v>
      </c>
      <c r="D972">
        <v>3.82</v>
      </c>
      <c r="E972" s="2">
        <f>Portfolio_Data_ProductGroups[[#This Row],[Profit_EUR_m]]/Portfolio_Data_ProductGroups[[#This Row],[Revenue_EUR_m]]</f>
        <v>0.28254437869822485</v>
      </c>
    </row>
    <row r="973" spans="1:5" x14ac:dyDescent="0.3">
      <c r="A973" t="s">
        <v>979</v>
      </c>
      <c r="B973" t="s">
        <v>7</v>
      </c>
      <c r="C973">
        <v>9.3800000000000008</v>
      </c>
      <c r="D973">
        <v>2.0499999999999998</v>
      </c>
      <c r="E973" s="2">
        <f>Portfolio_Data_ProductGroups[[#This Row],[Profit_EUR_m]]/Portfolio_Data_ProductGroups[[#This Row],[Revenue_EUR_m]]</f>
        <v>0.21855010660980806</v>
      </c>
    </row>
    <row r="974" spans="1:5" x14ac:dyDescent="0.3">
      <c r="A974" t="s">
        <v>980</v>
      </c>
      <c r="B974" t="s">
        <v>5</v>
      </c>
      <c r="C974">
        <v>22.32</v>
      </c>
      <c r="D974">
        <v>3.85</v>
      </c>
      <c r="E974" s="2">
        <f>Portfolio_Data_ProductGroups[[#This Row],[Profit_EUR_m]]/Portfolio_Data_ProductGroups[[#This Row],[Revenue_EUR_m]]</f>
        <v>0.1724910394265233</v>
      </c>
    </row>
    <row r="975" spans="1:5" x14ac:dyDescent="0.3">
      <c r="A975" t="s">
        <v>981</v>
      </c>
      <c r="B975" t="s">
        <v>9</v>
      </c>
      <c r="C975">
        <v>5.42</v>
      </c>
      <c r="D975">
        <v>1.1200000000000001</v>
      </c>
      <c r="E975" s="2">
        <f>Portfolio_Data_ProductGroups[[#This Row],[Profit_EUR_m]]/Portfolio_Data_ProductGroups[[#This Row],[Revenue_EUR_m]]</f>
        <v>0.20664206642066424</v>
      </c>
    </row>
    <row r="976" spans="1:5" x14ac:dyDescent="0.3">
      <c r="A976" t="s">
        <v>982</v>
      </c>
      <c r="B976" t="s">
        <v>9</v>
      </c>
      <c r="C976">
        <v>14.54</v>
      </c>
      <c r="D976">
        <v>3.63</v>
      </c>
      <c r="E976" s="2">
        <f>Portfolio_Data_ProductGroups[[#This Row],[Profit_EUR_m]]/Portfolio_Data_ProductGroups[[#This Row],[Revenue_EUR_m]]</f>
        <v>0.24965612104539203</v>
      </c>
    </row>
    <row r="977" spans="1:5" x14ac:dyDescent="0.3">
      <c r="A977" t="s">
        <v>983</v>
      </c>
      <c r="B977" t="s">
        <v>7</v>
      </c>
      <c r="C977">
        <v>22.81</v>
      </c>
      <c r="D977">
        <v>5.47</v>
      </c>
      <c r="E977" s="2">
        <f>Portfolio_Data_ProductGroups[[#This Row],[Profit_EUR_m]]/Portfolio_Data_ProductGroups[[#This Row],[Revenue_EUR_m]]</f>
        <v>0.23980710214818063</v>
      </c>
    </row>
    <row r="978" spans="1:5" x14ac:dyDescent="0.3">
      <c r="A978" t="s">
        <v>984</v>
      </c>
      <c r="B978" t="s">
        <v>9</v>
      </c>
      <c r="C978">
        <v>7.89</v>
      </c>
      <c r="D978">
        <v>2.6</v>
      </c>
      <c r="E978" s="2">
        <f>Portfolio_Data_ProductGroups[[#This Row],[Profit_EUR_m]]/Portfolio_Data_ProductGroups[[#This Row],[Revenue_EUR_m]]</f>
        <v>0.32953105196451205</v>
      </c>
    </row>
    <row r="979" spans="1:5" x14ac:dyDescent="0.3">
      <c r="A979" t="s">
        <v>985</v>
      </c>
      <c r="B979" t="s">
        <v>9</v>
      </c>
      <c r="C979">
        <v>28.46</v>
      </c>
      <c r="D979">
        <v>5.78</v>
      </c>
      <c r="E979" s="2">
        <f>Portfolio_Data_ProductGroups[[#This Row],[Profit_EUR_m]]/Portfolio_Data_ProductGroups[[#This Row],[Revenue_EUR_m]]</f>
        <v>0.20309205903021785</v>
      </c>
    </row>
    <row r="980" spans="1:5" x14ac:dyDescent="0.3">
      <c r="A980" t="s">
        <v>986</v>
      </c>
      <c r="B980" t="s">
        <v>5</v>
      </c>
      <c r="C980">
        <v>16.87</v>
      </c>
      <c r="D980">
        <v>4.28</v>
      </c>
      <c r="E980" s="2">
        <f>Portfolio_Data_ProductGroups[[#This Row],[Profit_EUR_m]]/Portfolio_Data_ProductGroups[[#This Row],[Revenue_EUR_m]]</f>
        <v>0.25370480142264373</v>
      </c>
    </row>
    <row r="981" spans="1:5" x14ac:dyDescent="0.3">
      <c r="A981" t="s">
        <v>987</v>
      </c>
      <c r="B981" t="s">
        <v>13</v>
      </c>
      <c r="C981">
        <v>13.08</v>
      </c>
      <c r="D981">
        <v>6.92</v>
      </c>
      <c r="E981" s="2">
        <f>Portfolio_Data_ProductGroups[[#This Row],[Profit_EUR_m]]/Portfolio_Data_ProductGroups[[#This Row],[Revenue_EUR_m]]</f>
        <v>0.52905198776758411</v>
      </c>
    </row>
    <row r="982" spans="1:5" x14ac:dyDescent="0.3">
      <c r="A982" t="s">
        <v>988</v>
      </c>
      <c r="B982" t="s">
        <v>9</v>
      </c>
      <c r="C982">
        <v>7.97</v>
      </c>
      <c r="D982">
        <v>0.81</v>
      </c>
      <c r="E982" s="2">
        <f>Portfolio_Data_ProductGroups[[#This Row],[Profit_EUR_m]]/Portfolio_Data_ProductGroups[[#This Row],[Revenue_EUR_m]]</f>
        <v>0.10163111668757843</v>
      </c>
    </row>
    <row r="983" spans="1:5" x14ac:dyDescent="0.3">
      <c r="A983" t="s">
        <v>989</v>
      </c>
      <c r="B983" t="s">
        <v>7</v>
      </c>
      <c r="C983">
        <v>26.69</v>
      </c>
      <c r="D983">
        <v>7.5</v>
      </c>
      <c r="E983" s="2">
        <f>Portfolio_Data_ProductGroups[[#This Row],[Profit_EUR_m]]/Portfolio_Data_ProductGroups[[#This Row],[Revenue_EUR_m]]</f>
        <v>0.28100412139378045</v>
      </c>
    </row>
    <row r="984" spans="1:5" x14ac:dyDescent="0.3">
      <c r="A984" t="s">
        <v>990</v>
      </c>
      <c r="B984" t="s">
        <v>5</v>
      </c>
      <c r="C984">
        <v>15</v>
      </c>
      <c r="D984">
        <v>4.32</v>
      </c>
      <c r="E984" s="2">
        <f>Portfolio_Data_ProductGroups[[#This Row],[Profit_EUR_m]]/Portfolio_Data_ProductGroups[[#This Row],[Revenue_EUR_m]]</f>
        <v>0.28800000000000003</v>
      </c>
    </row>
    <row r="985" spans="1:5" x14ac:dyDescent="0.3">
      <c r="A985" t="s">
        <v>991</v>
      </c>
      <c r="B985" t="s">
        <v>5</v>
      </c>
      <c r="C985">
        <v>15.4</v>
      </c>
      <c r="D985">
        <v>3.38</v>
      </c>
      <c r="E985" s="2">
        <f>Portfolio_Data_ProductGroups[[#This Row],[Profit_EUR_m]]/Portfolio_Data_ProductGroups[[#This Row],[Revenue_EUR_m]]</f>
        <v>0.21948051948051947</v>
      </c>
    </row>
    <row r="986" spans="1:5" x14ac:dyDescent="0.3">
      <c r="A986" t="s">
        <v>992</v>
      </c>
      <c r="B986" t="s">
        <v>13</v>
      </c>
      <c r="C986">
        <v>13.26</v>
      </c>
      <c r="D986">
        <v>6.83</v>
      </c>
      <c r="E986" s="2">
        <f>Portfolio_Data_ProductGroups[[#This Row],[Profit_EUR_m]]/Portfolio_Data_ProductGroups[[#This Row],[Revenue_EUR_m]]</f>
        <v>0.51508295625942691</v>
      </c>
    </row>
    <row r="987" spans="1:5" x14ac:dyDescent="0.3">
      <c r="A987" t="s">
        <v>993</v>
      </c>
      <c r="B987" t="s">
        <v>5</v>
      </c>
      <c r="C987">
        <v>13.24</v>
      </c>
      <c r="D987">
        <v>2.5</v>
      </c>
      <c r="E987" s="2">
        <f>Portfolio_Data_ProductGroups[[#This Row],[Profit_EUR_m]]/Portfolio_Data_ProductGroups[[#This Row],[Revenue_EUR_m]]</f>
        <v>0.18882175226586104</v>
      </c>
    </row>
    <row r="988" spans="1:5" x14ac:dyDescent="0.3">
      <c r="A988" t="s">
        <v>994</v>
      </c>
      <c r="B988" t="s">
        <v>7</v>
      </c>
      <c r="C988">
        <v>14.48</v>
      </c>
      <c r="D988">
        <v>3.16</v>
      </c>
      <c r="E988" s="2">
        <f>Portfolio_Data_ProductGroups[[#This Row],[Profit_EUR_m]]/Portfolio_Data_ProductGroups[[#This Row],[Revenue_EUR_m]]</f>
        <v>0.21823204419889503</v>
      </c>
    </row>
    <row r="989" spans="1:5" x14ac:dyDescent="0.3">
      <c r="A989" t="s">
        <v>995</v>
      </c>
      <c r="B989" t="s">
        <v>9</v>
      </c>
      <c r="C989">
        <v>28.79</v>
      </c>
      <c r="D989">
        <v>8.51</v>
      </c>
      <c r="E989" s="2">
        <f>Portfolio_Data_ProductGroups[[#This Row],[Profit_EUR_m]]/Portfolio_Data_ProductGroups[[#This Row],[Revenue_EUR_m]]</f>
        <v>0.29558874609239322</v>
      </c>
    </row>
    <row r="990" spans="1:5" x14ac:dyDescent="0.3">
      <c r="A990" t="s">
        <v>996</v>
      </c>
      <c r="B990" t="s">
        <v>5</v>
      </c>
      <c r="C990">
        <v>39.450000000000003</v>
      </c>
      <c r="D990">
        <v>8.68</v>
      </c>
      <c r="E990" s="2">
        <f>Portfolio_Data_ProductGroups[[#This Row],[Profit_EUR_m]]/Portfolio_Data_ProductGroups[[#This Row],[Revenue_EUR_m]]</f>
        <v>0.22002534854245878</v>
      </c>
    </row>
    <row r="991" spans="1:5" x14ac:dyDescent="0.3">
      <c r="A991" t="s">
        <v>997</v>
      </c>
      <c r="B991" t="s">
        <v>13</v>
      </c>
      <c r="C991">
        <v>19.7</v>
      </c>
      <c r="D991">
        <v>8.93</v>
      </c>
      <c r="E991" s="2">
        <f>Portfolio_Data_ProductGroups[[#This Row],[Profit_EUR_m]]/Portfolio_Data_ProductGroups[[#This Row],[Revenue_EUR_m]]</f>
        <v>0.45329949238578682</v>
      </c>
    </row>
    <row r="992" spans="1:5" x14ac:dyDescent="0.3">
      <c r="A992" t="s">
        <v>998</v>
      </c>
      <c r="B992" t="s">
        <v>5</v>
      </c>
      <c r="C992">
        <v>67.459999999999994</v>
      </c>
      <c r="D992">
        <v>13.04</v>
      </c>
      <c r="E992" s="2">
        <f>Portfolio_Data_ProductGroups[[#This Row],[Profit_EUR_m]]/Portfolio_Data_ProductGroups[[#This Row],[Revenue_EUR_m]]</f>
        <v>0.19329973317521496</v>
      </c>
    </row>
    <row r="993" spans="1:5" x14ac:dyDescent="0.3">
      <c r="A993" t="s">
        <v>999</v>
      </c>
      <c r="B993" t="s">
        <v>5</v>
      </c>
      <c r="C993">
        <v>45.6</v>
      </c>
      <c r="D993">
        <v>11.62</v>
      </c>
      <c r="E993" s="2">
        <f>Portfolio_Data_ProductGroups[[#This Row],[Profit_EUR_m]]/Portfolio_Data_ProductGroups[[#This Row],[Revenue_EUR_m]]</f>
        <v>0.25482456140350873</v>
      </c>
    </row>
    <row r="994" spans="1:5" x14ac:dyDescent="0.3">
      <c r="A994" t="s">
        <v>1000</v>
      </c>
      <c r="B994" t="s">
        <v>5</v>
      </c>
      <c r="C994">
        <v>8.67</v>
      </c>
      <c r="D994">
        <v>2.4900000000000002</v>
      </c>
      <c r="E994" s="2">
        <f>Portfolio_Data_ProductGroups[[#This Row],[Profit_EUR_m]]/Portfolio_Data_ProductGroups[[#This Row],[Revenue_EUR_m]]</f>
        <v>0.28719723183391005</v>
      </c>
    </row>
    <row r="995" spans="1:5" x14ac:dyDescent="0.3">
      <c r="A995" t="s">
        <v>1001</v>
      </c>
      <c r="B995" t="s">
        <v>5</v>
      </c>
      <c r="C995">
        <v>12.83</v>
      </c>
      <c r="D995">
        <v>3.05</v>
      </c>
      <c r="E995" s="2">
        <f>Portfolio_Data_ProductGroups[[#This Row],[Profit_EUR_m]]/Portfolio_Data_ProductGroups[[#This Row],[Revenue_EUR_m]]</f>
        <v>0.23772408417770849</v>
      </c>
    </row>
    <row r="996" spans="1:5" x14ac:dyDescent="0.3">
      <c r="A996" t="s">
        <v>1002</v>
      </c>
      <c r="B996" t="s">
        <v>7</v>
      </c>
      <c r="C996">
        <v>21.55</v>
      </c>
      <c r="D996">
        <v>5.27</v>
      </c>
      <c r="E996" s="2">
        <f>Portfolio_Data_ProductGroups[[#This Row],[Profit_EUR_m]]/Portfolio_Data_ProductGroups[[#This Row],[Revenue_EUR_m]]</f>
        <v>0.24454756380510437</v>
      </c>
    </row>
    <row r="997" spans="1:5" x14ac:dyDescent="0.3">
      <c r="A997" t="s">
        <v>1003</v>
      </c>
      <c r="B997" t="s">
        <v>7</v>
      </c>
      <c r="C997">
        <v>16.32</v>
      </c>
      <c r="D997">
        <v>4.21</v>
      </c>
      <c r="E997" s="2">
        <f>Portfolio_Data_ProductGroups[[#This Row],[Profit_EUR_m]]/Portfolio_Data_ProductGroups[[#This Row],[Revenue_EUR_m]]</f>
        <v>0.25796568627450978</v>
      </c>
    </row>
    <row r="998" spans="1:5" x14ac:dyDescent="0.3">
      <c r="A998" t="s">
        <v>1004</v>
      </c>
      <c r="B998" t="s">
        <v>5</v>
      </c>
      <c r="C998">
        <v>13.19</v>
      </c>
      <c r="D998">
        <v>3.45</v>
      </c>
      <c r="E998" s="2">
        <f>Portfolio_Data_ProductGroups[[#This Row],[Profit_EUR_m]]/Portfolio_Data_ProductGroups[[#This Row],[Revenue_EUR_m]]</f>
        <v>0.26156178923426843</v>
      </c>
    </row>
    <row r="999" spans="1:5" x14ac:dyDescent="0.3">
      <c r="A999" t="s">
        <v>1005</v>
      </c>
      <c r="B999" t="s">
        <v>9</v>
      </c>
      <c r="C999">
        <v>41.39</v>
      </c>
      <c r="D999">
        <v>2.4900000000000002</v>
      </c>
      <c r="E999" s="2">
        <f>Portfolio_Data_ProductGroups[[#This Row],[Profit_EUR_m]]/Portfolio_Data_ProductGroups[[#This Row],[Revenue_EUR_m]]</f>
        <v>6.0159458806474997E-2</v>
      </c>
    </row>
    <row r="1000" spans="1:5" x14ac:dyDescent="0.3">
      <c r="A1000" t="s">
        <v>1006</v>
      </c>
      <c r="B1000" t="s">
        <v>7</v>
      </c>
      <c r="C1000">
        <v>32.96</v>
      </c>
      <c r="D1000">
        <v>8.83</v>
      </c>
      <c r="E1000" s="2">
        <f>Portfolio_Data_ProductGroups[[#This Row],[Profit_EUR_m]]/Portfolio_Data_ProductGroups[[#This Row],[Revenue_EUR_m]]</f>
        <v>0.26790048543689321</v>
      </c>
    </row>
    <row r="1001" spans="1:5" x14ac:dyDescent="0.3">
      <c r="A1001" t="s">
        <v>1007</v>
      </c>
      <c r="B1001" t="s">
        <v>9</v>
      </c>
      <c r="C1001">
        <v>61.74</v>
      </c>
      <c r="D1001">
        <v>13.62</v>
      </c>
      <c r="E1001" s="2">
        <f>Portfolio_Data_ProductGroups[[#This Row],[Profit_EUR_m]]/Portfolio_Data_ProductGroups[[#This Row],[Revenue_EUR_m]]</f>
        <v>0.22060252672497568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EEC8-A0DE-43B6-B4AA-01CD025DFA17}">
  <dimension ref="A1:H12"/>
  <sheetViews>
    <sheetView workbookViewId="0">
      <selection activeCell="D6" sqref="D6"/>
    </sheetView>
  </sheetViews>
  <sheetFormatPr defaultRowHeight="14.4" x14ac:dyDescent="0.3"/>
  <cols>
    <col min="1" max="1" width="23.21875" customWidth="1"/>
    <col min="2" max="2" width="28.5546875" customWidth="1"/>
    <col min="3" max="3" width="25.5546875" customWidth="1"/>
    <col min="4" max="4" width="11.44140625" customWidth="1"/>
    <col min="5" max="5" width="10" customWidth="1"/>
    <col min="6" max="6" width="16.5546875" customWidth="1"/>
    <col min="7" max="7" width="14.109375" customWidth="1"/>
    <col min="8" max="8" width="20.33203125" customWidth="1"/>
  </cols>
  <sheetData>
    <row r="1" spans="1:8" x14ac:dyDescent="0.3">
      <c r="A1" s="5" t="s">
        <v>1009</v>
      </c>
      <c r="B1" s="6" t="s">
        <v>1010</v>
      </c>
      <c r="C1" s="6" t="s">
        <v>1011</v>
      </c>
      <c r="D1" s="6" t="s">
        <v>1012</v>
      </c>
      <c r="E1" s="6" t="s">
        <v>1013</v>
      </c>
      <c r="F1" s="6" t="s">
        <v>1014</v>
      </c>
      <c r="G1" s="7" t="s">
        <v>1016</v>
      </c>
      <c r="H1" s="15" t="s">
        <v>1018</v>
      </c>
    </row>
    <row r="2" spans="1:8" x14ac:dyDescent="0.3">
      <c r="A2" s="8" t="s">
        <v>13</v>
      </c>
      <c r="B2" s="9">
        <f>COUNTIF('Cleaned Data'!$B:$B,"Network Management Software")</f>
        <v>145</v>
      </c>
      <c r="C2" s="9">
        <f>SUMIF('Cleaned Data'!B:B,"Network Management Software",'Cleaned Data'!C:C)</f>
        <v>1617.4999999999995</v>
      </c>
      <c r="D2" s="9">
        <f>SUMIF('Cleaned Data'!B:B,"Network Management Software",'Cleaned Data'!D:D)</f>
        <v>711.6400000000001</v>
      </c>
      <c r="E2" s="12">
        <f>D2/C2</f>
        <v>0.43996290571870189</v>
      </c>
      <c r="F2" s="12">
        <f>C2/$C$6</f>
        <v>7.9572517251370906E-2</v>
      </c>
      <c r="G2" s="18">
        <f>D2/$D$6</f>
        <v>0.13327365446308684</v>
      </c>
      <c r="H2" s="16">
        <f>$E$6</f>
        <v>0.26268474475547005</v>
      </c>
    </row>
    <row r="3" spans="1:8" x14ac:dyDescent="0.3">
      <c r="A3" s="10" t="s">
        <v>7</v>
      </c>
      <c r="B3" s="11">
        <f>COUNTIF('Cleaned Data'!$B:$B,"WLAN")</f>
        <v>254</v>
      </c>
      <c r="C3" s="11">
        <f>SUMIF('Cleaned Data'!B:B,"WLAN",'Cleaned Data'!C:C)</f>
        <v>4266.3900000000021</v>
      </c>
      <c r="D3" s="11">
        <f>SUMIF('Cleaned Data'!B:B,"WLAN",'Cleaned Data'!D:D)</f>
        <v>1179.4300000000003</v>
      </c>
      <c r="E3" s="12">
        <f t="shared" ref="E3:E6" si="0">D3/C3</f>
        <v>0.27644683209926885</v>
      </c>
      <c r="F3" s="12">
        <f t="shared" ref="F3:F5" si="1">C3/$C$6</f>
        <v>0.2098840135246223</v>
      </c>
      <c r="G3" s="17">
        <f t="shared" ref="G3:G5" si="2">D3/$D$6</f>
        <v>0.22087986381231878</v>
      </c>
      <c r="H3" s="16">
        <f t="shared" ref="H3:H5" si="3">$E$6</f>
        <v>0.26268474475547005</v>
      </c>
    </row>
    <row r="4" spans="1:8" x14ac:dyDescent="0.3">
      <c r="A4" s="8" t="s">
        <v>5</v>
      </c>
      <c r="B4" s="9">
        <f>COUNTIF('Cleaned Data'!$B:$B,"Switch")</f>
        <v>368</v>
      </c>
      <c r="C4" s="9">
        <f>SUMIF('Cleaned Data'!B:B,"Switch",'Cleaned Data'!C:C)</f>
        <v>9314.2500000000018</v>
      </c>
      <c r="D4" s="9">
        <f>SUMIF('Cleaned Data'!B:B,"Switch",'Cleaned Data'!D:D)</f>
        <v>2301.7999999999997</v>
      </c>
      <c r="E4" s="12">
        <f t="shared" si="0"/>
        <v>0.24712671444292339</v>
      </c>
      <c r="F4" s="12">
        <f t="shared" si="1"/>
        <v>0.45821225274100885</v>
      </c>
      <c r="G4" s="18">
        <f t="shared" si="2"/>
        <v>0.43107371401710587</v>
      </c>
      <c r="H4" s="16">
        <f t="shared" si="3"/>
        <v>0.26268474475547005</v>
      </c>
    </row>
    <row r="5" spans="1:8" x14ac:dyDescent="0.3">
      <c r="A5" s="10" t="s">
        <v>9</v>
      </c>
      <c r="B5" s="11">
        <f>COUNTIF('Cleaned Data'!$B:$B,"Router")</f>
        <v>233</v>
      </c>
      <c r="C5" s="11">
        <f>SUMIF('Cleaned Data'!B:B,"Router",'Cleaned Data'!C:C)</f>
        <v>5129.2300000000005</v>
      </c>
      <c r="D5" s="11">
        <f>SUMIF('Cleaned Data'!B:B,"Router",'Cleaned Data'!D:D)</f>
        <v>1146.82</v>
      </c>
      <c r="E5" s="12">
        <f t="shared" si="0"/>
        <v>0.22358521649448354</v>
      </c>
      <c r="F5" s="12">
        <f t="shared" si="1"/>
        <v>0.25233121648299806</v>
      </c>
      <c r="G5" s="18">
        <f t="shared" si="2"/>
        <v>0.21477276770748865</v>
      </c>
      <c r="H5" s="16">
        <f t="shared" si="3"/>
        <v>0.26268474475547005</v>
      </c>
    </row>
    <row r="6" spans="1:8" x14ac:dyDescent="0.3">
      <c r="A6" s="3" t="s">
        <v>1017</v>
      </c>
      <c r="B6" s="1">
        <f>SUM(B2:B5)</f>
        <v>1000</v>
      </c>
      <c r="C6" s="1">
        <f>SUM(C2:C5)</f>
        <v>20327.370000000003</v>
      </c>
      <c r="D6" s="1">
        <f>SUM(D2:D5)</f>
        <v>5339.69</v>
      </c>
      <c r="E6" s="12">
        <f t="shared" si="0"/>
        <v>0.26268474475547005</v>
      </c>
      <c r="F6" s="13">
        <f>SUM(F2:F5)</f>
        <v>1</v>
      </c>
      <c r="G6" s="14">
        <f>SUM(G2:G5)</f>
        <v>1.0000000000000002</v>
      </c>
    </row>
    <row r="10" spans="1:8" x14ac:dyDescent="0.3">
      <c r="A10" s="19" t="s">
        <v>1019</v>
      </c>
      <c r="B10" s="6" t="s">
        <v>13</v>
      </c>
      <c r="C10" s="6" t="s">
        <v>7</v>
      </c>
      <c r="D10" s="6" t="s">
        <v>5</v>
      </c>
      <c r="E10" s="7" t="s">
        <v>9</v>
      </c>
    </row>
    <row r="11" spans="1:8" x14ac:dyDescent="0.3">
      <c r="A11" s="8" t="s">
        <v>1020</v>
      </c>
      <c r="B11" s="20">
        <f t="shared" ref="B11" si="4">F2</f>
        <v>7.9572517251370906E-2</v>
      </c>
      <c r="C11" s="20">
        <f>F3</f>
        <v>0.2098840135246223</v>
      </c>
      <c r="D11" s="20">
        <f t="shared" ref="D11" si="5">F4</f>
        <v>0.45821225274100885</v>
      </c>
      <c r="E11" s="21">
        <f>F5</f>
        <v>0.25233121648299806</v>
      </c>
    </row>
    <row r="12" spans="1:8" x14ac:dyDescent="0.3">
      <c r="A12" s="4" t="s">
        <v>1015</v>
      </c>
      <c r="B12" s="22">
        <f>G2</f>
        <v>0.13327365446308684</v>
      </c>
      <c r="C12" s="22">
        <f>G3</f>
        <v>0.22087986381231878</v>
      </c>
      <c r="D12" s="22">
        <f>G4</f>
        <v>0.43107371401710587</v>
      </c>
      <c r="E12" s="23">
        <f>G5</f>
        <v>0.21477276770748865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26C251-6936-4D40-892A-194086538E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Exectuive View</vt:lpstr>
      <vt:lpstr>Cleaned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Thapa, Pujan</dc:creator>
  <cp:lastModifiedBy>Thapa, Pujan</cp:lastModifiedBy>
  <cp:lastPrinted>2026-06-28T22:02:14Z</cp:lastPrinted>
  <dcterms:created xsi:type="dcterms:W3CDTF">2026-06-28T10:06:13Z</dcterms:created>
  <dcterms:modified xsi:type="dcterms:W3CDTF">2026-08-09T12:45:03Z</dcterms:modified>
</cp:coreProperties>
</file>